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uthu\Downloads\"/>
    </mc:Choice>
  </mc:AlternateContent>
  <xr:revisionPtr revIDLastSave="0" documentId="13_ncr:1_{24F512A1-CEDB-4FB6-BFF3-71EECE77469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R8" i="1" l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BB8" i="1" l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Y7" i="1"/>
  <c r="AU7" i="1" l="1"/>
  <c r="BT132" i="1"/>
  <c r="BT133" i="1"/>
  <c r="BT134" i="1"/>
  <c r="BT135" i="1"/>
  <c r="BT136" i="1"/>
  <c r="BT137" i="1"/>
  <c r="BT138" i="1"/>
  <c r="BT139" i="1"/>
  <c r="BT140" i="1"/>
  <c r="BT141" i="1"/>
  <c r="BT142" i="1"/>
  <c r="BT143" i="1"/>
  <c r="BT144" i="1"/>
  <c r="BT145" i="1"/>
  <c r="BT146" i="1"/>
  <c r="BT147" i="1"/>
  <c r="BT148" i="1"/>
  <c r="BT149" i="1"/>
  <c r="BT150" i="1"/>
  <c r="BT151" i="1"/>
  <c r="BT152" i="1"/>
  <c r="BT153" i="1"/>
  <c r="BT154" i="1"/>
  <c r="BT155" i="1"/>
  <c r="BT156" i="1"/>
  <c r="BT157" i="1"/>
  <c r="BT158" i="1"/>
  <c r="BT159" i="1"/>
  <c r="BT160" i="1"/>
  <c r="BT161" i="1"/>
  <c r="BT162" i="1"/>
  <c r="BT163" i="1"/>
  <c r="BT164" i="1"/>
  <c r="BT165" i="1"/>
  <c r="BT166" i="1"/>
  <c r="BT167" i="1"/>
  <c r="BT168" i="1"/>
  <c r="BT169" i="1"/>
  <c r="BT170" i="1"/>
  <c r="BT171" i="1"/>
  <c r="BT172" i="1"/>
  <c r="BT173" i="1"/>
  <c r="BT174" i="1"/>
  <c r="BT175" i="1"/>
  <c r="BT176" i="1"/>
  <c r="BT177" i="1"/>
  <c r="BT178" i="1"/>
  <c r="BT179" i="1"/>
  <c r="BT180" i="1"/>
  <c r="BT181" i="1"/>
  <c r="BT182" i="1"/>
  <c r="BT183" i="1"/>
  <c r="BT184" i="1"/>
  <c r="BT185" i="1"/>
  <c r="BT186" i="1"/>
  <c r="BT187" i="1"/>
  <c r="BT188" i="1"/>
  <c r="BT189" i="1"/>
  <c r="BT190" i="1"/>
  <c r="BT191" i="1"/>
  <c r="BT192" i="1"/>
  <c r="BT193" i="1"/>
  <c r="BT194" i="1"/>
  <c r="BT195" i="1"/>
  <c r="Y78" i="1"/>
  <c r="Y79" i="1"/>
  <c r="Y80" i="1"/>
  <c r="Y81" i="1"/>
  <c r="Y82" i="1"/>
  <c r="Y83" i="1"/>
  <c r="Y84" i="1"/>
  <c r="Y85" i="1"/>
  <c r="Y86" i="1"/>
  <c r="Y87" i="1"/>
  <c r="BB31" i="1" l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BB7" i="1"/>
  <c r="BA7" i="1"/>
  <c r="AZ7" i="1"/>
  <c r="AY7" i="1"/>
  <c r="AW7" i="1"/>
  <c r="AX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BW132" i="1" l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CE166" i="1" s="1"/>
  <c r="BW167" i="1"/>
  <c r="CE167" i="1" s="1"/>
  <c r="BW168" i="1"/>
  <c r="CE168" i="1" s="1"/>
  <c r="BW169" i="1"/>
  <c r="CE169" i="1" s="1"/>
  <c r="BW170" i="1"/>
  <c r="CE170" i="1" s="1"/>
  <c r="BW171" i="1"/>
  <c r="CE171" i="1" s="1"/>
  <c r="BW172" i="1"/>
  <c r="CE172" i="1" s="1"/>
  <c r="BW173" i="1"/>
  <c r="CE173" i="1" s="1"/>
  <c r="BV132" i="1"/>
  <c r="BV133" i="1"/>
  <c r="BV134" i="1"/>
  <c r="BV135" i="1"/>
  <c r="BV136" i="1"/>
  <c r="BV137" i="1"/>
  <c r="BV138" i="1"/>
  <c r="BY200" i="1"/>
  <c r="BX200" i="1"/>
  <c r="CF200" i="1" s="1"/>
  <c r="BW200" i="1"/>
  <c r="CE200" i="1" s="1"/>
  <c r="BV200" i="1"/>
  <c r="CD200" i="1" s="1"/>
  <c r="BU200" i="1"/>
  <c r="CC200" i="1" s="1"/>
  <c r="BT200" i="1"/>
  <c r="CB200" i="1" s="1"/>
  <c r="BY199" i="1"/>
  <c r="BX199" i="1"/>
  <c r="CF199" i="1" s="1"/>
  <c r="BW199" i="1"/>
  <c r="CE199" i="1" s="1"/>
  <c r="BV199" i="1"/>
  <c r="CD199" i="1" s="1"/>
  <c r="BU199" i="1"/>
  <c r="CC199" i="1" s="1"/>
  <c r="BT199" i="1"/>
  <c r="CB199" i="1" s="1"/>
  <c r="BY198" i="1"/>
  <c r="BX198" i="1"/>
  <c r="CF198" i="1" s="1"/>
  <c r="BW198" i="1"/>
  <c r="CE198" i="1" s="1"/>
  <c r="BV198" i="1"/>
  <c r="CD198" i="1" s="1"/>
  <c r="BU198" i="1"/>
  <c r="CC198" i="1" s="1"/>
  <c r="BT198" i="1"/>
  <c r="CB198" i="1" s="1"/>
  <c r="BY197" i="1"/>
  <c r="BX197" i="1"/>
  <c r="CF197" i="1" s="1"/>
  <c r="BW197" i="1"/>
  <c r="CE197" i="1" s="1"/>
  <c r="BV197" i="1"/>
  <c r="CD197" i="1" s="1"/>
  <c r="BU197" i="1"/>
  <c r="CC197" i="1" s="1"/>
  <c r="BT197" i="1"/>
  <c r="CB197" i="1" s="1"/>
  <c r="BY196" i="1"/>
  <c r="BX196" i="1"/>
  <c r="CF196" i="1" s="1"/>
  <c r="BW196" i="1"/>
  <c r="CE196" i="1" s="1"/>
  <c r="BV196" i="1"/>
  <c r="CD196" i="1" s="1"/>
  <c r="BU196" i="1"/>
  <c r="CC196" i="1" s="1"/>
  <c r="BT196" i="1"/>
  <c r="CB196" i="1" s="1"/>
  <c r="BY195" i="1"/>
  <c r="BX195" i="1"/>
  <c r="CF195" i="1" s="1"/>
  <c r="BW195" i="1"/>
  <c r="CE195" i="1" s="1"/>
  <c r="BV195" i="1"/>
  <c r="CD195" i="1" s="1"/>
  <c r="BU195" i="1"/>
  <c r="CC195" i="1" s="1"/>
  <c r="CB195" i="1"/>
  <c r="BY194" i="1"/>
  <c r="BX194" i="1"/>
  <c r="CF194" i="1" s="1"/>
  <c r="BW194" i="1"/>
  <c r="CE194" i="1" s="1"/>
  <c r="BV194" i="1"/>
  <c r="CD194" i="1" s="1"/>
  <c r="BU194" i="1"/>
  <c r="CC194" i="1" s="1"/>
  <c r="CB194" i="1"/>
  <c r="BY193" i="1"/>
  <c r="BX193" i="1"/>
  <c r="CF193" i="1" s="1"/>
  <c r="BW193" i="1"/>
  <c r="CE193" i="1" s="1"/>
  <c r="BV193" i="1"/>
  <c r="CD193" i="1" s="1"/>
  <c r="BU193" i="1"/>
  <c r="CC193" i="1" s="1"/>
  <c r="CB193" i="1"/>
  <c r="BY192" i="1"/>
  <c r="BX192" i="1"/>
  <c r="CF192" i="1" s="1"/>
  <c r="BW192" i="1"/>
  <c r="CE192" i="1" s="1"/>
  <c r="BV192" i="1"/>
  <c r="CD192" i="1" s="1"/>
  <c r="BU192" i="1"/>
  <c r="CC192" i="1" s="1"/>
  <c r="CB192" i="1"/>
  <c r="BY191" i="1"/>
  <c r="BX191" i="1"/>
  <c r="CF191" i="1" s="1"/>
  <c r="BW191" i="1"/>
  <c r="CE191" i="1" s="1"/>
  <c r="BV191" i="1"/>
  <c r="CD191" i="1" s="1"/>
  <c r="BU191" i="1"/>
  <c r="CC191" i="1" s="1"/>
  <c r="CB191" i="1"/>
  <c r="BY190" i="1"/>
  <c r="BX190" i="1"/>
  <c r="CF190" i="1" s="1"/>
  <c r="BW190" i="1"/>
  <c r="CE190" i="1" s="1"/>
  <c r="BV190" i="1"/>
  <c r="CD190" i="1" s="1"/>
  <c r="BU190" i="1"/>
  <c r="CC190" i="1" s="1"/>
  <c r="CB190" i="1"/>
  <c r="BY189" i="1"/>
  <c r="BX189" i="1"/>
  <c r="CF189" i="1" s="1"/>
  <c r="BW189" i="1"/>
  <c r="CE189" i="1" s="1"/>
  <c r="BV189" i="1"/>
  <c r="CD189" i="1" s="1"/>
  <c r="BU189" i="1"/>
  <c r="CC189" i="1" s="1"/>
  <c r="CB189" i="1"/>
  <c r="BY188" i="1"/>
  <c r="BX188" i="1"/>
  <c r="CF188" i="1" s="1"/>
  <c r="BW188" i="1"/>
  <c r="CE188" i="1" s="1"/>
  <c r="BV188" i="1"/>
  <c r="CD188" i="1" s="1"/>
  <c r="BU188" i="1"/>
  <c r="CC188" i="1" s="1"/>
  <c r="CB188" i="1"/>
  <c r="BY187" i="1"/>
  <c r="BX187" i="1"/>
  <c r="CF187" i="1" s="1"/>
  <c r="BW187" i="1"/>
  <c r="CE187" i="1" s="1"/>
  <c r="BV187" i="1"/>
  <c r="CD187" i="1" s="1"/>
  <c r="BU187" i="1"/>
  <c r="CC187" i="1" s="1"/>
  <c r="CB187" i="1"/>
  <c r="BY186" i="1"/>
  <c r="BX186" i="1"/>
  <c r="CF186" i="1" s="1"/>
  <c r="BW186" i="1"/>
  <c r="CE186" i="1" s="1"/>
  <c r="BV186" i="1"/>
  <c r="CD186" i="1" s="1"/>
  <c r="BU186" i="1"/>
  <c r="CC186" i="1" s="1"/>
  <c r="CB186" i="1"/>
  <c r="BY185" i="1"/>
  <c r="BX185" i="1"/>
  <c r="CF185" i="1" s="1"/>
  <c r="BW185" i="1"/>
  <c r="CE185" i="1" s="1"/>
  <c r="BV185" i="1"/>
  <c r="CD185" i="1" s="1"/>
  <c r="BU185" i="1"/>
  <c r="CC185" i="1" s="1"/>
  <c r="CB185" i="1"/>
  <c r="BY184" i="1"/>
  <c r="BX184" i="1"/>
  <c r="CF184" i="1" s="1"/>
  <c r="BW184" i="1"/>
  <c r="CE184" i="1" s="1"/>
  <c r="BV184" i="1"/>
  <c r="CD184" i="1" s="1"/>
  <c r="BU184" i="1"/>
  <c r="CC184" i="1" s="1"/>
  <c r="CB184" i="1"/>
  <c r="BY183" i="1"/>
  <c r="BX183" i="1"/>
  <c r="CF183" i="1" s="1"/>
  <c r="BW183" i="1"/>
  <c r="CE183" i="1" s="1"/>
  <c r="BV183" i="1"/>
  <c r="CD183" i="1" s="1"/>
  <c r="BU183" i="1"/>
  <c r="CC183" i="1" s="1"/>
  <c r="CB183" i="1"/>
  <c r="BY182" i="1"/>
  <c r="BX182" i="1"/>
  <c r="CF182" i="1" s="1"/>
  <c r="BW182" i="1"/>
  <c r="CE182" i="1" s="1"/>
  <c r="BV182" i="1"/>
  <c r="CD182" i="1" s="1"/>
  <c r="BU182" i="1"/>
  <c r="CC182" i="1" s="1"/>
  <c r="CB182" i="1"/>
  <c r="BY181" i="1"/>
  <c r="BX181" i="1"/>
  <c r="CF181" i="1" s="1"/>
  <c r="BW181" i="1"/>
  <c r="CE181" i="1" s="1"/>
  <c r="BV181" i="1"/>
  <c r="CD181" i="1" s="1"/>
  <c r="BU181" i="1"/>
  <c r="CC181" i="1" s="1"/>
  <c r="CB181" i="1"/>
  <c r="BY180" i="1"/>
  <c r="BX180" i="1"/>
  <c r="CF180" i="1" s="1"/>
  <c r="BW180" i="1"/>
  <c r="CE180" i="1" s="1"/>
  <c r="BV180" i="1"/>
  <c r="CD180" i="1" s="1"/>
  <c r="BU180" i="1"/>
  <c r="CC180" i="1" s="1"/>
  <c r="CB180" i="1"/>
  <c r="BY179" i="1"/>
  <c r="BX179" i="1"/>
  <c r="CF179" i="1" s="1"/>
  <c r="BW179" i="1"/>
  <c r="CE179" i="1" s="1"/>
  <c r="BV179" i="1"/>
  <c r="CD179" i="1" s="1"/>
  <c r="BU179" i="1"/>
  <c r="CC179" i="1" s="1"/>
  <c r="CB179" i="1"/>
  <c r="BY178" i="1"/>
  <c r="BX178" i="1"/>
  <c r="CF178" i="1" s="1"/>
  <c r="BW178" i="1"/>
  <c r="CE178" i="1" s="1"/>
  <c r="BV178" i="1"/>
  <c r="CD178" i="1" s="1"/>
  <c r="BU178" i="1"/>
  <c r="CC178" i="1" s="1"/>
  <c r="CB178" i="1"/>
  <c r="BY177" i="1"/>
  <c r="BX177" i="1"/>
  <c r="CF177" i="1" s="1"/>
  <c r="BW177" i="1"/>
  <c r="CE177" i="1" s="1"/>
  <c r="BV177" i="1"/>
  <c r="CD177" i="1" s="1"/>
  <c r="BU177" i="1"/>
  <c r="CC177" i="1" s="1"/>
  <c r="CB177" i="1"/>
  <c r="BY176" i="1"/>
  <c r="BX176" i="1"/>
  <c r="CF176" i="1" s="1"/>
  <c r="BW176" i="1"/>
  <c r="CE176" i="1" s="1"/>
  <c r="BV176" i="1"/>
  <c r="CD176" i="1" s="1"/>
  <c r="BU176" i="1"/>
  <c r="CC176" i="1" s="1"/>
  <c r="CB176" i="1"/>
  <c r="BY175" i="1"/>
  <c r="BX175" i="1"/>
  <c r="CF175" i="1" s="1"/>
  <c r="BW175" i="1"/>
  <c r="CE175" i="1" s="1"/>
  <c r="BV175" i="1"/>
  <c r="CD175" i="1" s="1"/>
  <c r="BU175" i="1"/>
  <c r="CC175" i="1" s="1"/>
  <c r="CB175" i="1"/>
  <c r="BY174" i="1"/>
  <c r="BX174" i="1"/>
  <c r="CF174" i="1" s="1"/>
  <c r="BW174" i="1"/>
  <c r="CE174" i="1" s="1"/>
  <c r="BV174" i="1"/>
  <c r="CD174" i="1" s="1"/>
  <c r="BU174" i="1"/>
  <c r="CC174" i="1" s="1"/>
  <c r="CB174" i="1"/>
  <c r="BY173" i="1"/>
  <c r="BX173" i="1"/>
  <c r="CF173" i="1" s="1"/>
  <c r="BV173" i="1"/>
  <c r="CD173" i="1" s="1"/>
  <c r="BU173" i="1"/>
  <c r="CC173" i="1" s="1"/>
  <c r="CB173" i="1"/>
  <c r="BY172" i="1"/>
  <c r="BX172" i="1"/>
  <c r="CF172" i="1" s="1"/>
  <c r="BV172" i="1"/>
  <c r="CD172" i="1" s="1"/>
  <c r="BU172" i="1"/>
  <c r="CC172" i="1" s="1"/>
  <c r="CB172" i="1"/>
  <c r="BY171" i="1"/>
  <c r="BX171" i="1"/>
  <c r="CF171" i="1" s="1"/>
  <c r="BV171" i="1"/>
  <c r="BU171" i="1"/>
  <c r="CC171" i="1" s="1"/>
  <c r="CB171" i="1"/>
  <c r="BY170" i="1"/>
  <c r="BX170" i="1"/>
  <c r="CF170" i="1" s="1"/>
  <c r="BV170" i="1"/>
  <c r="CD170" i="1" s="1"/>
  <c r="BU170" i="1"/>
  <c r="CC170" i="1" s="1"/>
  <c r="CB170" i="1"/>
  <c r="BY169" i="1"/>
  <c r="BX169" i="1"/>
  <c r="CF169" i="1" s="1"/>
  <c r="BV169" i="1"/>
  <c r="CD169" i="1" s="1"/>
  <c r="BU169" i="1"/>
  <c r="CC169" i="1" s="1"/>
  <c r="BY168" i="1"/>
  <c r="BX168" i="1"/>
  <c r="CF168" i="1" s="1"/>
  <c r="BV168" i="1"/>
  <c r="CD168" i="1" s="1"/>
  <c r="BU168" i="1"/>
  <c r="CC168" i="1" s="1"/>
  <c r="CB168" i="1"/>
  <c r="BY167" i="1"/>
  <c r="BX167" i="1"/>
  <c r="CF167" i="1" s="1"/>
  <c r="BV167" i="1"/>
  <c r="CD167" i="1" s="1"/>
  <c r="BU167" i="1"/>
  <c r="CC167" i="1" s="1"/>
  <c r="CB167" i="1"/>
  <c r="BY166" i="1"/>
  <c r="BX166" i="1"/>
  <c r="CF166" i="1" s="1"/>
  <c r="BV166" i="1"/>
  <c r="CD166" i="1" s="1"/>
  <c r="BU166" i="1"/>
  <c r="CC166" i="1" s="1"/>
  <c r="CB166" i="1"/>
  <c r="BY165" i="1"/>
  <c r="BX165" i="1"/>
  <c r="BV165" i="1"/>
  <c r="BU165" i="1"/>
  <c r="BY164" i="1"/>
  <c r="BX164" i="1"/>
  <c r="BV164" i="1"/>
  <c r="BU164" i="1"/>
  <c r="BY163" i="1"/>
  <c r="BX163" i="1"/>
  <c r="BV163" i="1"/>
  <c r="BU163" i="1"/>
  <c r="BY162" i="1"/>
  <c r="BX162" i="1"/>
  <c r="BV162" i="1"/>
  <c r="BU162" i="1"/>
  <c r="BY161" i="1"/>
  <c r="BX161" i="1"/>
  <c r="BV161" i="1"/>
  <c r="BU161" i="1"/>
  <c r="BY160" i="1"/>
  <c r="BX160" i="1"/>
  <c r="BV160" i="1"/>
  <c r="BU160" i="1"/>
  <c r="BY159" i="1"/>
  <c r="BX159" i="1"/>
  <c r="BV159" i="1"/>
  <c r="BU159" i="1"/>
  <c r="BY158" i="1"/>
  <c r="BX158" i="1"/>
  <c r="BV158" i="1"/>
  <c r="BU158" i="1"/>
  <c r="BY157" i="1"/>
  <c r="BX157" i="1"/>
  <c r="BV157" i="1"/>
  <c r="BU157" i="1"/>
  <c r="BY156" i="1"/>
  <c r="BX156" i="1"/>
  <c r="BV156" i="1"/>
  <c r="BU156" i="1"/>
  <c r="BY155" i="1"/>
  <c r="BX155" i="1"/>
  <c r="BV155" i="1"/>
  <c r="BU155" i="1"/>
  <c r="BY154" i="1"/>
  <c r="BX154" i="1"/>
  <c r="BV154" i="1"/>
  <c r="BU154" i="1"/>
  <c r="BY153" i="1"/>
  <c r="BX153" i="1"/>
  <c r="BV153" i="1"/>
  <c r="BU153" i="1"/>
  <c r="BY152" i="1"/>
  <c r="BX152" i="1"/>
  <c r="BV152" i="1"/>
  <c r="BU152" i="1"/>
  <c r="BY151" i="1"/>
  <c r="BX151" i="1"/>
  <c r="BV151" i="1"/>
  <c r="BU151" i="1"/>
  <c r="BY150" i="1"/>
  <c r="BX150" i="1"/>
  <c r="BV150" i="1"/>
  <c r="BU150" i="1"/>
  <c r="BY149" i="1"/>
  <c r="BX149" i="1"/>
  <c r="BV149" i="1"/>
  <c r="BU149" i="1"/>
  <c r="BY148" i="1"/>
  <c r="BX148" i="1"/>
  <c r="BV148" i="1"/>
  <c r="BU148" i="1"/>
  <c r="BY147" i="1"/>
  <c r="BX147" i="1"/>
  <c r="BV147" i="1"/>
  <c r="BU147" i="1"/>
  <c r="BY146" i="1"/>
  <c r="BX146" i="1"/>
  <c r="BV146" i="1"/>
  <c r="BU146" i="1"/>
  <c r="BY145" i="1"/>
  <c r="BX145" i="1"/>
  <c r="BV145" i="1"/>
  <c r="BU145" i="1"/>
  <c r="BY144" i="1"/>
  <c r="BX144" i="1"/>
  <c r="BV144" i="1"/>
  <c r="BU144" i="1"/>
  <c r="BY143" i="1"/>
  <c r="BX143" i="1"/>
  <c r="BV143" i="1"/>
  <c r="BU143" i="1"/>
  <c r="BY142" i="1"/>
  <c r="BX142" i="1"/>
  <c r="BV142" i="1"/>
  <c r="BU142" i="1"/>
  <c r="BY141" i="1"/>
  <c r="BX141" i="1"/>
  <c r="BV141" i="1"/>
  <c r="BU141" i="1"/>
  <c r="BY140" i="1"/>
  <c r="BX140" i="1"/>
  <c r="BV140" i="1"/>
  <c r="BU140" i="1"/>
  <c r="BY139" i="1"/>
  <c r="BX139" i="1"/>
  <c r="BV139" i="1"/>
  <c r="BU139" i="1"/>
  <c r="BY138" i="1"/>
  <c r="BX138" i="1"/>
  <c r="BU138" i="1"/>
  <c r="BY137" i="1"/>
  <c r="BX137" i="1"/>
  <c r="BU137" i="1"/>
  <c r="BY136" i="1"/>
  <c r="BX136" i="1"/>
  <c r="BU136" i="1"/>
  <c r="BY135" i="1"/>
  <c r="BX135" i="1"/>
  <c r="BU135" i="1"/>
  <c r="BY134" i="1"/>
  <c r="BX134" i="1"/>
  <c r="BU134" i="1"/>
  <c r="BY133" i="1"/>
  <c r="BX133" i="1"/>
  <c r="BU133" i="1"/>
  <c r="BY132" i="1"/>
  <c r="BX132" i="1"/>
  <c r="BU132" i="1"/>
  <c r="BX91" i="1"/>
  <c r="BR7" i="1"/>
  <c r="BJ8" i="1"/>
  <c r="BT8" i="1" s="1"/>
  <c r="BJ131" i="1"/>
  <c r="BT131" i="1" s="1"/>
  <c r="BJ130" i="1"/>
  <c r="BJ129" i="1"/>
  <c r="BJ128" i="1"/>
  <c r="BT128" i="1" s="1"/>
  <c r="BJ127" i="1"/>
  <c r="BJ126" i="1"/>
  <c r="BJ125" i="1"/>
  <c r="BJ124" i="1"/>
  <c r="BJ123" i="1"/>
  <c r="BJ122" i="1"/>
  <c r="BJ121" i="1"/>
  <c r="BJ120" i="1"/>
  <c r="BT120" i="1" s="1"/>
  <c r="BJ119" i="1"/>
  <c r="BJ118" i="1"/>
  <c r="BJ117" i="1"/>
  <c r="BJ116" i="1"/>
  <c r="BJ115" i="1"/>
  <c r="BT115" i="1" s="1"/>
  <c r="BJ114" i="1"/>
  <c r="BJ113" i="1"/>
  <c r="BJ112" i="1"/>
  <c r="BT112" i="1" s="1"/>
  <c r="BJ111" i="1"/>
  <c r="BW111" i="1" s="1"/>
  <c r="BJ110" i="1"/>
  <c r="BJ109" i="1"/>
  <c r="BT109" i="1" s="1"/>
  <c r="BJ108" i="1"/>
  <c r="BJ107" i="1"/>
  <c r="BJ106" i="1"/>
  <c r="BJ105" i="1"/>
  <c r="BJ104" i="1"/>
  <c r="BT104" i="1" s="1"/>
  <c r="BJ103" i="1"/>
  <c r="BJ102" i="1"/>
  <c r="BJ101" i="1"/>
  <c r="BJ100" i="1"/>
  <c r="BJ99" i="1"/>
  <c r="BJ98" i="1"/>
  <c r="BU98" i="1" s="1"/>
  <c r="BJ97" i="1"/>
  <c r="BJ96" i="1"/>
  <c r="BT96" i="1" s="1"/>
  <c r="BJ95" i="1"/>
  <c r="BJ94" i="1"/>
  <c r="BJ93" i="1"/>
  <c r="BJ92" i="1"/>
  <c r="BT92" i="1" s="1"/>
  <c r="BJ91" i="1"/>
  <c r="BJ90" i="1"/>
  <c r="BJ89" i="1"/>
  <c r="BT89" i="1" s="1"/>
  <c r="BJ88" i="1"/>
  <c r="BT88" i="1" s="1"/>
  <c r="BJ87" i="1"/>
  <c r="BJ86" i="1"/>
  <c r="BJ85" i="1"/>
  <c r="BJ84" i="1"/>
  <c r="BT84" i="1" s="1"/>
  <c r="BJ83" i="1"/>
  <c r="BJ82" i="1"/>
  <c r="BJ81" i="1"/>
  <c r="BJ80" i="1"/>
  <c r="BJ79" i="1"/>
  <c r="BT79" i="1" s="1"/>
  <c r="BJ78" i="1"/>
  <c r="BT78" i="1" s="1"/>
  <c r="BJ77" i="1"/>
  <c r="BT77" i="1" s="1"/>
  <c r="BJ76" i="1"/>
  <c r="BT76" i="1" s="1"/>
  <c r="BJ75" i="1"/>
  <c r="BT75" i="1" s="1"/>
  <c r="BJ74" i="1"/>
  <c r="BT74" i="1" s="1"/>
  <c r="BJ73" i="1"/>
  <c r="BT73" i="1" s="1"/>
  <c r="BJ72" i="1"/>
  <c r="BT72" i="1" s="1"/>
  <c r="BJ71" i="1"/>
  <c r="BT71" i="1" s="1"/>
  <c r="BJ70" i="1"/>
  <c r="BT70" i="1" s="1"/>
  <c r="BJ69" i="1"/>
  <c r="BT69" i="1" s="1"/>
  <c r="BJ68" i="1"/>
  <c r="BT68" i="1" s="1"/>
  <c r="BJ67" i="1"/>
  <c r="BT67" i="1" s="1"/>
  <c r="BJ66" i="1"/>
  <c r="BT66" i="1" s="1"/>
  <c r="BJ65" i="1"/>
  <c r="BT65" i="1" s="1"/>
  <c r="BJ64" i="1"/>
  <c r="BT64" i="1" s="1"/>
  <c r="BJ63" i="1"/>
  <c r="BT63" i="1" s="1"/>
  <c r="BJ62" i="1"/>
  <c r="BT62" i="1" s="1"/>
  <c r="BJ61" i="1"/>
  <c r="BT61" i="1" s="1"/>
  <c r="BJ60" i="1"/>
  <c r="BT60" i="1" s="1"/>
  <c r="BJ59" i="1"/>
  <c r="BT59" i="1" s="1"/>
  <c r="BJ58" i="1"/>
  <c r="BT58" i="1" s="1"/>
  <c r="BJ57" i="1"/>
  <c r="BT57" i="1" s="1"/>
  <c r="BJ56" i="1"/>
  <c r="BT56" i="1" s="1"/>
  <c r="BJ55" i="1"/>
  <c r="BT55" i="1" s="1"/>
  <c r="BJ54" i="1"/>
  <c r="BT54" i="1" s="1"/>
  <c r="BJ53" i="1"/>
  <c r="BT53" i="1" s="1"/>
  <c r="BJ52" i="1"/>
  <c r="BT52" i="1" s="1"/>
  <c r="BJ51" i="1"/>
  <c r="BT51" i="1" s="1"/>
  <c r="BJ50" i="1"/>
  <c r="BT50" i="1" s="1"/>
  <c r="BJ49" i="1"/>
  <c r="BT49" i="1" s="1"/>
  <c r="BJ48" i="1"/>
  <c r="BT48" i="1" s="1"/>
  <c r="BJ47" i="1"/>
  <c r="BT47" i="1" s="1"/>
  <c r="BJ46" i="1"/>
  <c r="BT46" i="1" s="1"/>
  <c r="BJ45" i="1"/>
  <c r="BT45" i="1" s="1"/>
  <c r="BJ44" i="1"/>
  <c r="BT44" i="1" s="1"/>
  <c r="BJ43" i="1"/>
  <c r="BT43" i="1" s="1"/>
  <c r="BJ42" i="1"/>
  <c r="BT42" i="1" s="1"/>
  <c r="BJ41" i="1"/>
  <c r="BT41" i="1" s="1"/>
  <c r="BJ40" i="1"/>
  <c r="BT40" i="1" s="1"/>
  <c r="BJ39" i="1"/>
  <c r="BT39" i="1" s="1"/>
  <c r="BJ38" i="1"/>
  <c r="BT38" i="1" s="1"/>
  <c r="BJ37" i="1"/>
  <c r="BT37" i="1" s="1"/>
  <c r="BJ36" i="1"/>
  <c r="BT36" i="1" s="1"/>
  <c r="BJ35" i="1"/>
  <c r="BT35" i="1" s="1"/>
  <c r="BJ34" i="1"/>
  <c r="BT34" i="1" s="1"/>
  <c r="BJ33" i="1"/>
  <c r="BT33" i="1" s="1"/>
  <c r="BJ32" i="1"/>
  <c r="BT32" i="1" s="1"/>
  <c r="BJ31" i="1"/>
  <c r="BT31" i="1" s="1"/>
  <c r="BJ30" i="1"/>
  <c r="BT30" i="1" s="1"/>
  <c r="BJ29" i="1"/>
  <c r="BT29" i="1" s="1"/>
  <c r="BJ28" i="1"/>
  <c r="BT28" i="1" s="1"/>
  <c r="BJ27" i="1"/>
  <c r="BT27" i="1" s="1"/>
  <c r="BJ26" i="1"/>
  <c r="BT26" i="1" s="1"/>
  <c r="BJ25" i="1"/>
  <c r="BT25" i="1" s="1"/>
  <c r="BJ24" i="1"/>
  <c r="BT24" i="1" s="1"/>
  <c r="BJ23" i="1"/>
  <c r="BT23" i="1" s="1"/>
  <c r="BJ22" i="1"/>
  <c r="BT22" i="1" s="1"/>
  <c r="BJ21" i="1"/>
  <c r="BT21" i="1" s="1"/>
  <c r="BJ20" i="1"/>
  <c r="BT20" i="1" s="1"/>
  <c r="BJ19" i="1"/>
  <c r="BT19" i="1" s="1"/>
  <c r="BJ18" i="1"/>
  <c r="BT18" i="1" s="1"/>
  <c r="BJ17" i="1"/>
  <c r="BT17" i="1" s="1"/>
  <c r="BJ16" i="1"/>
  <c r="BT16" i="1" s="1"/>
  <c r="BJ15" i="1"/>
  <c r="BT15" i="1" s="1"/>
  <c r="BJ14" i="1"/>
  <c r="BT14" i="1" s="1"/>
  <c r="BJ13" i="1"/>
  <c r="BT13" i="1" s="1"/>
  <c r="BJ12" i="1"/>
  <c r="BT12" i="1" s="1"/>
  <c r="BJ11" i="1"/>
  <c r="BT11" i="1" s="1"/>
  <c r="BJ10" i="1"/>
  <c r="BT10" i="1" s="1"/>
  <c r="BJ9" i="1"/>
  <c r="BT9" i="1" s="1"/>
  <c r="BJ7" i="1"/>
  <c r="BT7" i="1" s="1"/>
  <c r="BV127" i="1" l="1"/>
  <c r="BT127" i="1"/>
  <c r="BY129" i="1"/>
  <c r="BT129" i="1"/>
  <c r="BU130" i="1"/>
  <c r="BT130" i="1"/>
  <c r="BY126" i="1"/>
  <c r="BT126" i="1"/>
  <c r="BY94" i="1"/>
  <c r="BT94" i="1"/>
  <c r="BW119" i="1"/>
  <c r="BT119" i="1"/>
  <c r="BY107" i="1"/>
  <c r="BT107" i="1"/>
  <c r="BX108" i="1"/>
  <c r="BT108" i="1"/>
  <c r="BU85" i="1"/>
  <c r="BT85" i="1"/>
  <c r="BX97" i="1"/>
  <c r="BT97" i="1"/>
  <c r="BY121" i="1"/>
  <c r="BT121" i="1"/>
  <c r="BV81" i="1"/>
  <c r="BT81" i="1"/>
  <c r="BY82" i="1"/>
  <c r="BT82" i="1"/>
  <c r="BY118" i="1"/>
  <c r="BT118" i="1"/>
  <c r="BV83" i="1"/>
  <c r="BT83" i="1"/>
  <c r="BU86" i="1"/>
  <c r="BT86" i="1"/>
  <c r="BX98" i="1"/>
  <c r="BT98" i="1"/>
  <c r="BY110" i="1"/>
  <c r="BT110" i="1"/>
  <c r="BU122" i="1"/>
  <c r="BT122" i="1"/>
  <c r="BX87" i="1"/>
  <c r="BT87" i="1"/>
  <c r="BX99" i="1"/>
  <c r="BT99" i="1"/>
  <c r="BX111" i="1"/>
  <c r="BT111" i="1"/>
  <c r="BY123" i="1"/>
  <c r="BT123" i="1"/>
  <c r="BY117" i="1"/>
  <c r="BT117" i="1"/>
  <c r="BX95" i="1"/>
  <c r="BT95" i="1"/>
  <c r="BX100" i="1"/>
  <c r="BT100" i="1"/>
  <c r="BU124" i="1"/>
  <c r="BT124" i="1"/>
  <c r="BY106" i="1"/>
  <c r="BT106" i="1"/>
  <c r="BY101" i="1"/>
  <c r="BT101" i="1"/>
  <c r="BV113" i="1"/>
  <c r="BT113" i="1"/>
  <c r="BX125" i="1"/>
  <c r="BT125" i="1"/>
  <c r="BU90" i="1"/>
  <c r="BT90" i="1"/>
  <c r="BY102" i="1"/>
  <c r="BT102" i="1"/>
  <c r="BX114" i="1"/>
  <c r="BT114" i="1"/>
  <c r="BV93" i="1"/>
  <c r="BT93" i="1"/>
  <c r="BY91" i="1"/>
  <c r="BT91" i="1"/>
  <c r="BX103" i="1"/>
  <c r="BT103" i="1"/>
  <c r="BU105" i="1"/>
  <c r="BT105" i="1"/>
  <c r="BU80" i="1"/>
  <c r="BT80" i="1"/>
  <c r="BU116" i="1"/>
  <c r="BT116" i="1"/>
  <c r="BV109" i="1"/>
  <c r="BU103" i="1"/>
  <c r="BX90" i="1"/>
  <c r="BU114" i="1"/>
  <c r="BU123" i="1"/>
  <c r="BX131" i="1"/>
  <c r="CG173" i="1"/>
  <c r="CG175" i="1"/>
  <c r="CG177" i="1"/>
  <c r="CG179" i="1"/>
  <c r="CG181" i="1"/>
  <c r="CG183" i="1"/>
  <c r="CG185" i="1"/>
  <c r="CG187" i="1"/>
  <c r="CG189" i="1"/>
  <c r="CG191" i="1"/>
  <c r="CG193" i="1"/>
  <c r="CG195" i="1"/>
  <c r="CG197" i="1"/>
  <c r="CG199" i="1"/>
  <c r="BX123" i="1"/>
  <c r="BY131" i="1"/>
  <c r="CG166" i="1"/>
  <c r="BX115" i="1"/>
  <c r="CG171" i="1"/>
  <c r="BW115" i="1"/>
  <c r="BX93" i="1"/>
  <c r="BU106" i="1"/>
  <c r="BY115" i="1"/>
  <c r="BW83" i="1"/>
  <c r="BY81" i="1"/>
  <c r="BX106" i="1"/>
  <c r="BU125" i="1"/>
  <c r="CG169" i="1"/>
  <c r="BV125" i="1"/>
  <c r="BV103" i="1"/>
  <c r="BU82" i="1"/>
  <c r="BU95" i="1"/>
  <c r="BX107" i="1"/>
  <c r="BU117" i="1"/>
  <c r="BX126" i="1"/>
  <c r="BV115" i="1"/>
  <c r="BY83" i="1"/>
  <c r="BX118" i="1"/>
  <c r="CG167" i="1"/>
  <c r="CG174" i="1"/>
  <c r="CG176" i="1"/>
  <c r="CG178" i="1"/>
  <c r="CG180" i="1"/>
  <c r="CG182" i="1"/>
  <c r="CG184" i="1"/>
  <c r="CG186" i="1"/>
  <c r="CG188" i="1"/>
  <c r="CG190" i="1"/>
  <c r="CG192" i="1"/>
  <c r="CG194" i="1"/>
  <c r="CG196" i="1"/>
  <c r="CG198" i="1"/>
  <c r="CG200" i="1"/>
  <c r="BU127" i="1"/>
  <c r="CG172" i="1"/>
  <c r="BY86" i="1"/>
  <c r="BX109" i="1"/>
  <c r="BU119" i="1"/>
  <c r="BY127" i="1"/>
  <c r="BU87" i="1"/>
  <c r="BY119" i="1"/>
  <c r="CG170" i="1"/>
  <c r="BY99" i="1"/>
  <c r="BU111" i="1"/>
  <c r="BX101" i="1"/>
  <c r="BU131" i="1"/>
  <c r="CG168" i="1"/>
  <c r="BZ141" i="1"/>
  <c r="BZ149" i="1"/>
  <c r="BZ147" i="1"/>
  <c r="BZ140" i="1"/>
  <c r="BZ152" i="1"/>
  <c r="BZ145" i="1"/>
  <c r="BZ157" i="1"/>
  <c r="BZ169" i="1"/>
  <c r="BZ132" i="1"/>
  <c r="BZ139" i="1"/>
  <c r="BZ148" i="1"/>
  <c r="CB169" i="1"/>
  <c r="BZ159" i="1"/>
  <c r="BZ171" i="1"/>
  <c r="CD171" i="1"/>
  <c r="BZ136" i="1"/>
  <c r="BZ133" i="1"/>
  <c r="BZ165" i="1"/>
  <c r="BZ167" i="1"/>
  <c r="BZ138" i="1"/>
  <c r="BZ144" i="1"/>
  <c r="BZ153" i="1"/>
  <c r="BZ161" i="1"/>
  <c r="BZ163" i="1"/>
  <c r="BZ173" i="1"/>
  <c r="BW80" i="1"/>
  <c r="BX80" i="1"/>
  <c r="BV80" i="1"/>
  <c r="BY80" i="1"/>
  <c r="BW84" i="1"/>
  <c r="BX84" i="1"/>
  <c r="BV84" i="1"/>
  <c r="BY84" i="1"/>
  <c r="BU84" i="1"/>
  <c r="BW88" i="1"/>
  <c r="BY88" i="1"/>
  <c r="BV88" i="1"/>
  <c r="BX88" i="1"/>
  <c r="BU88" i="1"/>
  <c r="BW92" i="1"/>
  <c r="BU92" i="1"/>
  <c r="BY92" i="1"/>
  <c r="BV92" i="1"/>
  <c r="BW96" i="1"/>
  <c r="BV96" i="1"/>
  <c r="BY96" i="1"/>
  <c r="BX96" i="1"/>
  <c r="BU96" i="1"/>
  <c r="BW100" i="1"/>
  <c r="BV100" i="1"/>
  <c r="BU100" i="1"/>
  <c r="BY100" i="1"/>
  <c r="BW104" i="1"/>
  <c r="BY104" i="1"/>
  <c r="BU104" i="1"/>
  <c r="BV104" i="1"/>
  <c r="BX104" i="1"/>
  <c r="BW108" i="1"/>
  <c r="BV108" i="1"/>
  <c r="BU108" i="1"/>
  <c r="BY108" i="1"/>
  <c r="BW112" i="1"/>
  <c r="BV112" i="1"/>
  <c r="BY112" i="1"/>
  <c r="BX112" i="1"/>
  <c r="BU112" i="1"/>
  <c r="BW116" i="1"/>
  <c r="BV116" i="1"/>
  <c r="BY116" i="1"/>
  <c r="BX116" i="1"/>
  <c r="BW120" i="1"/>
  <c r="BX120" i="1"/>
  <c r="BV120" i="1"/>
  <c r="BU120" i="1"/>
  <c r="BW124" i="1"/>
  <c r="BY124" i="1"/>
  <c r="BV124" i="1"/>
  <c r="BX124" i="1"/>
  <c r="BW128" i="1"/>
  <c r="BV128" i="1"/>
  <c r="BX128" i="1"/>
  <c r="BU128" i="1"/>
  <c r="BX92" i="1"/>
  <c r="BY120" i="1"/>
  <c r="BY128" i="1"/>
  <c r="BZ150" i="1"/>
  <c r="BZ175" i="1"/>
  <c r="BZ179" i="1"/>
  <c r="BZ183" i="1"/>
  <c r="BZ187" i="1"/>
  <c r="BZ188" i="1"/>
  <c r="BZ191" i="1"/>
  <c r="BZ192" i="1"/>
  <c r="BZ195" i="1"/>
  <c r="BZ196" i="1"/>
  <c r="BZ199" i="1"/>
  <c r="BZ200" i="1"/>
  <c r="BW81" i="1"/>
  <c r="BW89" i="1"/>
  <c r="BV89" i="1"/>
  <c r="BW93" i="1"/>
  <c r="BW101" i="1"/>
  <c r="BV101" i="1"/>
  <c r="BW113" i="1"/>
  <c r="BW121" i="1"/>
  <c r="BV121" i="1"/>
  <c r="BW129" i="1"/>
  <c r="BU89" i="1"/>
  <c r="BY109" i="1"/>
  <c r="BU113" i="1"/>
  <c r="BZ142" i="1"/>
  <c r="BZ176" i="1"/>
  <c r="BZ180" i="1"/>
  <c r="BV90" i="1"/>
  <c r="BW90" i="1"/>
  <c r="BV102" i="1"/>
  <c r="BW102" i="1"/>
  <c r="BV110" i="1"/>
  <c r="BW110" i="1"/>
  <c r="BV114" i="1"/>
  <c r="BW114" i="1"/>
  <c r="BV122" i="1"/>
  <c r="BW122" i="1"/>
  <c r="BV130" i="1"/>
  <c r="BW130" i="1"/>
  <c r="BY90" i="1"/>
  <c r="BU102" i="1"/>
  <c r="BX113" i="1"/>
  <c r="BX122" i="1"/>
  <c r="BU129" i="1"/>
  <c r="BZ158" i="1"/>
  <c r="BZ170" i="1"/>
  <c r="BZ174" i="1"/>
  <c r="BZ178" i="1"/>
  <c r="BZ182" i="1"/>
  <c r="BZ186" i="1"/>
  <c r="BZ190" i="1"/>
  <c r="BV131" i="1"/>
  <c r="BV99" i="1"/>
  <c r="BW131" i="1"/>
  <c r="BW99" i="1"/>
  <c r="BX81" i="1"/>
  <c r="BW85" i="1"/>
  <c r="BX85" i="1"/>
  <c r="BV85" i="1"/>
  <c r="BW97" i="1"/>
  <c r="BW105" i="1"/>
  <c r="BV105" i="1"/>
  <c r="BW109" i="1"/>
  <c r="BW117" i="1"/>
  <c r="BV117" i="1"/>
  <c r="BW125" i="1"/>
  <c r="BY85" i="1"/>
  <c r="BY93" i="1"/>
  <c r="BU97" i="1"/>
  <c r="BX117" i="1"/>
  <c r="BZ184" i="1"/>
  <c r="BX82" i="1"/>
  <c r="BV82" i="1"/>
  <c r="BW82" i="1"/>
  <c r="BV86" i="1"/>
  <c r="BW86" i="1"/>
  <c r="BV94" i="1"/>
  <c r="BW94" i="1"/>
  <c r="BV98" i="1"/>
  <c r="BW98" i="1"/>
  <c r="BV106" i="1"/>
  <c r="BW106" i="1"/>
  <c r="BV118" i="1"/>
  <c r="BW118" i="1"/>
  <c r="BV126" i="1"/>
  <c r="BW126" i="1"/>
  <c r="BX89" i="1"/>
  <c r="BU94" i="1"/>
  <c r="BY98" i="1"/>
  <c r="BX105" i="1"/>
  <c r="BU110" i="1"/>
  <c r="BY114" i="1"/>
  <c r="BU121" i="1"/>
  <c r="BY125" i="1"/>
  <c r="BX130" i="1"/>
  <c r="BZ162" i="1"/>
  <c r="BZ166" i="1"/>
  <c r="BX83" i="1"/>
  <c r="BW87" i="1"/>
  <c r="BW91" i="1"/>
  <c r="BV91" i="1"/>
  <c r="BV95" i="1"/>
  <c r="BW103" i="1"/>
  <c r="BW107" i="1"/>
  <c r="BV107" i="1"/>
  <c r="BV111" i="1"/>
  <c r="BW123" i="1"/>
  <c r="BV123" i="1"/>
  <c r="BU81" i="1"/>
  <c r="BU83" i="1"/>
  <c r="BX86" i="1"/>
  <c r="BY87" i="1"/>
  <c r="BY89" i="1"/>
  <c r="BU91" i="1"/>
  <c r="BU93" i="1"/>
  <c r="BX94" i="1"/>
  <c r="BY95" i="1"/>
  <c r="BY97" i="1"/>
  <c r="BU99" i="1"/>
  <c r="BU101" i="1"/>
  <c r="BX102" i="1"/>
  <c r="BY103" i="1"/>
  <c r="BY105" i="1"/>
  <c r="BU107" i="1"/>
  <c r="BU109" i="1"/>
  <c r="BX110" i="1"/>
  <c r="BY111" i="1"/>
  <c r="BY113" i="1"/>
  <c r="BU115" i="1"/>
  <c r="BU118" i="1"/>
  <c r="BX119" i="1"/>
  <c r="BX121" i="1"/>
  <c r="BY122" i="1"/>
  <c r="BU126" i="1"/>
  <c r="BX127" i="1"/>
  <c r="BX129" i="1"/>
  <c r="BY130" i="1"/>
  <c r="BZ134" i="1"/>
  <c r="BZ146" i="1"/>
  <c r="BZ154" i="1"/>
  <c r="BZ156" i="1"/>
  <c r="BZ160" i="1"/>
  <c r="BZ164" i="1"/>
  <c r="BZ168" i="1"/>
  <c r="BZ172" i="1"/>
  <c r="BZ177" i="1"/>
  <c r="BZ181" i="1"/>
  <c r="BZ185" i="1"/>
  <c r="BZ189" i="1"/>
  <c r="BZ193" i="1"/>
  <c r="BV129" i="1"/>
  <c r="BV119" i="1"/>
  <c r="BV97" i="1"/>
  <c r="BV87" i="1"/>
  <c r="BW127" i="1"/>
  <c r="BW95" i="1"/>
  <c r="BZ194" i="1"/>
  <c r="BZ198" i="1"/>
  <c r="BZ137" i="1"/>
  <c r="BZ197" i="1"/>
  <c r="BZ155" i="1"/>
  <c r="BZ135" i="1"/>
  <c r="BZ143" i="1"/>
  <c r="BZ151" i="1"/>
  <c r="BZ103" i="1" l="1"/>
  <c r="BZ123" i="1"/>
  <c r="BZ127" i="1"/>
  <c r="BZ87" i="1"/>
  <c r="BZ82" i="1"/>
  <c r="BZ131" i="1"/>
  <c r="BZ119" i="1"/>
  <c r="BZ115" i="1"/>
  <c r="BZ111" i="1"/>
  <c r="BZ83" i="1"/>
  <c r="BZ99" i="1"/>
  <c r="BZ106" i="1"/>
  <c r="BZ91" i="1"/>
  <c r="BZ95" i="1"/>
  <c r="BZ130" i="1"/>
  <c r="BZ129" i="1"/>
  <c r="BZ97" i="1"/>
  <c r="BZ116" i="1"/>
  <c r="BZ86" i="1"/>
  <c r="BZ85" i="1"/>
  <c r="BZ122" i="1"/>
  <c r="BZ90" i="1"/>
  <c r="BZ124" i="1"/>
  <c r="BZ112" i="1"/>
  <c r="BZ104" i="1"/>
  <c r="BZ107" i="1"/>
  <c r="BZ114" i="1"/>
  <c r="BZ101" i="1"/>
  <c r="BZ98" i="1"/>
  <c r="BZ128" i="1"/>
  <c r="BZ89" i="1"/>
  <c r="BZ94" i="1"/>
  <c r="BZ117" i="1"/>
  <c r="BZ105" i="1"/>
  <c r="BZ102" i="1"/>
  <c r="BZ113" i="1"/>
  <c r="BZ100" i="1"/>
  <c r="BZ88" i="1"/>
  <c r="BZ80" i="1"/>
  <c r="BZ110" i="1"/>
  <c r="BZ125" i="1"/>
  <c r="BZ121" i="1"/>
  <c r="BZ93" i="1"/>
  <c r="BZ120" i="1"/>
  <c r="BZ96" i="1"/>
  <c r="BZ92" i="1"/>
  <c r="BZ126" i="1"/>
  <c r="BZ118" i="1"/>
  <c r="BZ109" i="1"/>
  <c r="BZ81" i="1"/>
  <c r="BZ108" i="1"/>
  <c r="BZ84" i="1"/>
  <c r="BW8" i="1" l="1"/>
  <c r="BX8" i="1"/>
  <c r="BV8" i="1"/>
  <c r="BY8" i="1"/>
  <c r="BU8" i="1"/>
  <c r="BW68" i="1"/>
  <c r="BY68" i="1"/>
  <c r="BX68" i="1"/>
  <c r="BV68" i="1"/>
  <c r="BU68" i="1"/>
  <c r="BW56" i="1"/>
  <c r="BX56" i="1"/>
  <c r="BV56" i="1"/>
  <c r="BY56" i="1"/>
  <c r="BU56" i="1"/>
  <c r="BW44" i="1"/>
  <c r="BX44" i="1"/>
  <c r="BV44" i="1"/>
  <c r="BY44" i="1"/>
  <c r="BU44" i="1"/>
  <c r="BW32" i="1"/>
  <c r="BX32" i="1"/>
  <c r="BV32" i="1"/>
  <c r="BU32" i="1"/>
  <c r="BY32" i="1"/>
  <c r="BW20" i="1"/>
  <c r="BX20" i="1"/>
  <c r="BV20" i="1"/>
  <c r="BU20" i="1"/>
  <c r="BY20" i="1"/>
  <c r="BX79" i="1"/>
  <c r="BV79" i="1"/>
  <c r="BY79" i="1"/>
  <c r="BW79" i="1"/>
  <c r="BU79" i="1"/>
  <c r="BY75" i="1"/>
  <c r="BX75" i="1"/>
  <c r="BU75" i="1"/>
  <c r="BW75" i="1"/>
  <c r="BV75" i="1"/>
  <c r="BY71" i="1"/>
  <c r="BX71" i="1"/>
  <c r="BW71" i="1"/>
  <c r="BU71" i="1"/>
  <c r="BV71" i="1"/>
  <c r="BY67" i="1"/>
  <c r="BX67" i="1"/>
  <c r="BU67" i="1"/>
  <c r="BV67" i="1"/>
  <c r="BW67" i="1"/>
  <c r="BY63" i="1"/>
  <c r="BX63" i="1"/>
  <c r="BU63" i="1"/>
  <c r="BW63" i="1"/>
  <c r="BV63" i="1"/>
  <c r="BY59" i="1"/>
  <c r="BX59" i="1"/>
  <c r="BU59" i="1"/>
  <c r="BW59" i="1"/>
  <c r="BV59" i="1"/>
  <c r="BX55" i="1"/>
  <c r="BY55" i="1"/>
  <c r="BW55" i="1"/>
  <c r="BU55" i="1"/>
  <c r="BV55" i="1"/>
  <c r="BX51" i="1"/>
  <c r="BY51" i="1"/>
  <c r="BU51" i="1"/>
  <c r="BV51" i="1"/>
  <c r="BW51" i="1"/>
  <c r="BU47" i="1"/>
  <c r="BX47" i="1"/>
  <c r="BY47" i="1"/>
  <c r="BV47" i="1"/>
  <c r="BW47" i="1"/>
  <c r="BU43" i="1"/>
  <c r="BX43" i="1"/>
  <c r="BY43" i="1"/>
  <c r="BW43" i="1"/>
  <c r="BV43" i="1"/>
  <c r="BU39" i="1"/>
  <c r="BX39" i="1"/>
  <c r="BY39" i="1"/>
  <c r="BW39" i="1"/>
  <c r="BV39" i="1"/>
  <c r="BU35" i="1"/>
  <c r="BX35" i="1"/>
  <c r="BY35" i="1"/>
  <c r="BV35" i="1"/>
  <c r="BW35" i="1"/>
  <c r="BU31" i="1"/>
  <c r="BX31" i="1"/>
  <c r="BY31" i="1"/>
  <c r="BW31" i="1"/>
  <c r="BV31" i="1"/>
  <c r="BU27" i="1"/>
  <c r="BX27" i="1"/>
  <c r="BY27" i="1"/>
  <c r="BW27" i="1"/>
  <c r="BV27" i="1"/>
  <c r="BU23" i="1"/>
  <c r="BX23" i="1"/>
  <c r="BY23" i="1"/>
  <c r="BW23" i="1"/>
  <c r="BV23" i="1"/>
  <c r="BU19" i="1"/>
  <c r="BX19" i="1"/>
  <c r="BY19" i="1"/>
  <c r="BV19" i="1"/>
  <c r="BW19" i="1"/>
  <c r="BU15" i="1"/>
  <c r="BX15" i="1"/>
  <c r="BV15" i="1"/>
  <c r="BY15" i="1"/>
  <c r="BW15" i="1"/>
  <c r="BU11" i="1"/>
  <c r="BX11" i="1"/>
  <c r="BV11" i="1"/>
  <c r="BY11" i="1"/>
  <c r="BW11" i="1"/>
  <c r="BW76" i="1"/>
  <c r="BY76" i="1"/>
  <c r="BX76" i="1"/>
  <c r="BU76" i="1"/>
  <c r="BV76" i="1"/>
  <c r="BW64" i="1"/>
  <c r="BY64" i="1"/>
  <c r="BX64" i="1"/>
  <c r="BV64" i="1"/>
  <c r="BU64" i="1"/>
  <c r="BW52" i="1"/>
  <c r="BX52" i="1"/>
  <c r="BV52" i="1"/>
  <c r="BU52" i="1"/>
  <c r="BY52" i="1"/>
  <c r="BW40" i="1"/>
  <c r="BX40" i="1"/>
  <c r="BV40" i="1"/>
  <c r="BY40" i="1"/>
  <c r="BU40" i="1"/>
  <c r="BW28" i="1"/>
  <c r="BX28" i="1"/>
  <c r="BV28" i="1"/>
  <c r="BY28" i="1"/>
  <c r="BU28" i="1"/>
  <c r="BW16" i="1"/>
  <c r="BX16" i="1"/>
  <c r="BV16" i="1"/>
  <c r="BU16" i="1"/>
  <c r="BY16" i="1"/>
  <c r="BX78" i="1"/>
  <c r="BV78" i="1"/>
  <c r="BW78" i="1"/>
  <c r="BU78" i="1"/>
  <c r="BY78" i="1"/>
  <c r="BX74" i="1"/>
  <c r="BV74" i="1"/>
  <c r="BW74" i="1"/>
  <c r="BY74" i="1"/>
  <c r="BU74" i="1"/>
  <c r="BX70" i="1"/>
  <c r="BV70" i="1"/>
  <c r="BW70" i="1"/>
  <c r="BY70" i="1"/>
  <c r="BU70" i="1"/>
  <c r="BX66" i="1"/>
  <c r="BV66" i="1"/>
  <c r="BW66" i="1"/>
  <c r="BY66" i="1"/>
  <c r="BU66" i="1"/>
  <c r="BX62" i="1"/>
  <c r="BV62" i="1"/>
  <c r="BW62" i="1"/>
  <c r="BY62" i="1"/>
  <c r="BU62" i="1"/>
  <c r="BX58" i="1"/>
  <c r="BV58" i="1"/>
  <c r="BY58" i="1"/>
  <c r="BW58" i="1"/>
  <c r="BU58" i="1"/>
  <c r="BX54" i="1"/>
  <c r="BV54" i="1"/>
  <c r="BY54" i="1"/>
  <c r="BW54" i="1"/>
  <c r="BU54" i="1"/>
  <c r="BX50" i="1"/>
  <c r="BV50" i="1"/>
  <c r="BY50" i="1"/>
  <c r="BW50" i="1"/>
  <c r="BU50" i="1"/>
  <c r="BX46" i="1"/>
  <c r="BV46" i="1"/>
  <c r="BY46" i="1"/>
  <c r="BW46" i="1"/>
  <c r="BU46" i="1"/>
  <c r="BX42" i="1"/>
  <c r="BV42" i="1"/>
  <c r="BY42" i="1"/>
  <c r="BW42" i="1"/>
  <c r="BU42" i="1"/>
  <c r="BX38" i="1"/>
  <c r="BV38" i="1"/>
  <c r="BY38" i="1"/>
  <c r="BW38" i="1"/>
  <c r="BU38" i="1"/>
  <c r="BX34" i="1"/>
  <c r="BV34" i="1"/>
  <c r="BY34" i="1"/>
  <c r="BW34" i="1"/>
  <c r="BU34" i="1"/>
  <c r="BX30" i="1"/>
  <c r="BV30" i="1"/>
  <c r="BY30" i="1"/>
  <c r="BW30" i="1"/>
  <c r="BU30" i="1"/>
  <c r="BX26" i="1"/>
  <c r="BV26" i="1"/>
  <c r="BY26" i="1"/>
  <c r="BW26" i="1"/>
  <c r="BU26" i="1"/>
  <c r="BX22" i="1"/>
  <c r="BV22" i="1"/>
  <c r="BY22" i="1"/>
  <c r="BW22" i="1"/>
  <c r="BU22" i="1"/>
  <c r="BX18" i="1"/>
  <c r="BV18" i="1"/>
  <c r="BY18" i="1"/>
  <c r="BW18" i="1"/>
  <c r="BU18" i="1"/>
  <c r="BX14" i="1"/>
  <c r="BV14" i="1"/>
  <c r="BY14" i="1"/>
  <c r="BW14" i="1"/>
  <c r="BU14" i="1"/>
  <c r="BX10" i="1"/>
  <c r="BV10" i="1"/>
  <c r="BY10" i="1"/>
  <c r="BW10" i="1"/>
  <c r="BU10" i="1"/>
  <c r="BW72" i="1"/>
  <c r="BY72" i="1"/>
  <c r="BX72" i="1"/>
  <c r="BV72" i="1"/>
  <c r="BU72" i="1"/>
  <c r="BW60" i="1"/>
  <c r="BY60" i="1"/>
  <c r="BX60" i="1"/>
  <c r="BV60" i="1"/>
  <c r="BU60" i="1"/>
  <c r="BW48" i="1"/>
  <c r="BX48" i="1"/>
  <c r="BV48" i="1"/>
  <c r="BU48" i="1"/>
  <c r="BY48" i="1"/>
  <c r="BW36" i="1"/>
  <c r="BX36" i="1"/>
  <c r="BV36" i="1"/>
  <c r="BU36" i="1"/>
  <c r="BY36" i="1"/>
  <c r="BW24" i="1"/>
  <c r="BX24" i="1"/>
  <c r="BV24" i="1"/>
  <c r="BY24" i="1"/>
  <c r="BU24" i="1"/>
  <c r="BW12" i="1"/>
  <c r="BX12" i="1"/>
  <c r="BV12" i="1"/>
  <c r="BY12" i="1"/>
  <c r="BU12" i="1"/>
  <c r="BY9" i="1"/>
  <c r="BW9" i="1"/>
  <c r="BU9" i="1"/>
  <c r="BX9" i="1"/>
  <c r="BV9" i="1"/>
  <c r="BW77" i="1"/>
  <c r="BY77" i="1"/>
  <c r="BX77" i="1"/>
  <c r="BV77" i="1"/>
  <c r="BU77" i="1"/>
  <c r="BW73" i="1"/>
  <c r="BY73" i="1"/>
  <c r="BV73" i="1"/>
  <c r="BX73" i="1"/>
  <c r="BU73" i="1"/>
  <c r="BW69" i="1"/>
  <c r="BY69" i="1"/>
  <c r="BX69" i="1"/>
  <c r="BV69" i="1"/>
  <c r="BU69" i="1"/>
  <c r="BW65" i="1"/>
  <c r="BY65" i="1"/>
  <c r="BV65" i="1"/>
  <c r="BU65" i="1"/>
  <c r="BX65" i="1"/>
  <c r="BW61" i="1"/>
  <c r="BY61" i="1"/>
  <c r="BV61" i="1"/>
  <c r="BX61" i="1"/>
  <c r="BU61" i="1"/>
  <c r="BY57" i="1"/>
  <c r="BW57" i="1"/>
  <c r="BV57" i="1"/>
  <c r="BX57" i="1"/>
  <c r="BU57" i="1"/>
  <c r="BY53" i="1"/>
  <c r="BW53" i="1"/>
  <c r="BX53" i="1"/>
  <c r="BV53" i="1"/>
  <c r="BU53" i="1"/>
  <c r="BY49" i="1"/>
  <c r="BW49" i="1"/>
  <c r="BV49" i="1"/>
  <c r="BU49" i="1"/>
  <c r="BX49" i="1"/>
  <c r="BY45" i="1"/>
  <c r="BW45" i="1"/>
  <c r="BX45" i="1"/>
  <c r="BV45" i="1"/>
  <c r="BU45" i="1"/>
  <c r="BY41" i="1"/>
  <c r="BW41" i="1"/>
  <c r="BV41" i="1"/>
  <c r="BU41" i="1"/>
  <c r="BX41" i="1"/>
  <c r="BY37" i="1"/>
  <c r="BW37" i="1"/>
  <c r="BX37" i="1"/>
  <c r="BU37" i="1"/>
  <c r="BV37" i="1"/>
  <c r="BY33" i="1"/>
  <c r="BW33" i="1"/>
  <c r="BV33" i="1"/>
  <c r="BU33" i="1"/>
  <c r="BX33" i="1"/>
  <c r="BY29" i="1"/>
  <c r="BW29" i="1"/>
  <c r="BV29" i="1"/>
  <c r="BU29" i="1"/>
  <c r="BX29" i="1"/>
  <c r="BY25" i="1"/>
  <c r="BW25" i="1"/>
  <c r="BV25" i="1"/>
  <c r="BU25" i="1"/>
  <c r="BX25" i="1"/>
  <c r="BY21" i="1"/>
  <c r="BW21" i="1"/>
  <c r="BX21" i="1"/>
  <c r="BU21" i="1"/>
  <c r="BV21" i="1"/>
  <c r="BY17" i="1"/>
  <c r="BW17" i="1"/>
  <c r="BV17" i="1"/>
  <c r="BU17" i="1"/>
  <c r="BX17" i="1"/>
  <c r="BY13" i="1"/>
  <c r="BW13" i="1"/>
  <c r="BX13" i="1"/>
  <c r="BU13" i="1"/>
  <c r="BV13" i="1"/>
  <c r="BZ36" i="1" l="1"/>
  <c r="BZ60" i="1"/>
  <c r="BZ58" i="1"/>
  <c r="BZ74" i="1"/>
  <c r="BZ40" i="1"/>
  <c r="BZ64" i="1"/>
  <c r="BZ11" i="1"/>
  <c r="BZ43" i="1"/>
  <c r="BZ59" i="1"/>
  <c r="BZ75" i="1"/>
  <c r="BZ27" i="1"/>
  <c r="BZ68" i="1"/>
  <c r="BZ17" i="1"/>
  <c r="BZ33" i="1"/>
  <c r="BZ49" i="1"/>
  <c r="BZ57" i="1"/>
  <c r="BZ73" i="1"/>
  <c r="BZ9" i="1"/>
  <c r="BZ12" i="1"/>
  <c r="BZ10" i="1"/>
  <c r="BZ18" i="1"/>
  <c r="BZ26" i="1"/>
  <c r="BZ34" i="1"/>
  <c r="BZ42" i="1"/>
  <c r="BZ50" i="1"/>
  <c r="BZ16" i="1"/>
  <c r="BZ19" i="1"/>
  <c r="BZ35" i="1"/>
  <c r="BZ51" i="1"/>
  <c r="BZ67" i="1"/>
  <c r="BZ20" i="1"/>
  <c r="BZ44" i="1"/>
  <c r="BZ77" i="1"/>
  <c r="BZ21" i="1"/>
  <c r="BZ37" i="1"/>
  <c r="BZ53" i="1"/>
  <c r="BZ65" i="1"/>
  <c r="BZ69" i="1"/>
  <c r="BZ24" i="1"/>
  <c r="BZ72" i="1"/>
  <c r="BZ62" i="1"/>
  <c r="BZ66" i="1"/>
  <c r="BZ28" i="1"/>
  <c r="BZ52" i="1"/>
  <c r="BZ76" i="1"/>
  <c r="BZ15" i="1"/>
  <c r="BZ23" i="1"/>
  <c r="BZ31" i="1"/>
  <c r="BZ47" i="1"/>
  <c r="BZ55" i="1"/>
  <c r="BZ63" i="1"/>
  <c r="BZ71" i="1"/>
  <c r="BZ32" i="1"/>
  <c r="BZ56" i="1"/>
  <c r="BZ8" i="1"/>
  <c r="BZ13" i="1"/>
  <c r="BZ25" i="1"/>
  <c r="BZ29" i="1"/>
  <c r="BZ41" i="1"/>
  <c r="BZ45" i="1"/>
  <c r="BZ61" i="1"/>
  <c r="BZ48" i="1"/>
  <c r="BZ14" i="1"/>
  <c r="BZ22" i="1"/>
  <c r="BZ30" i="1"/>
  <c r="BZ38" i="1"/>
  <c r="BZ46" i="1"/>
  <c r="BZ54" i="1"/>
  <c r="BZ70" i="1"/>
  <c r="BZ78" i="1"/>
  <c r="BZ39" i="1"/>
  <c r="BZ79" i="1"/>
  <c r="BX7" i="1" l="1"/>
  <c r="CF61" i="1" s="1"/>
  <c r="BV7" i="1"/>
  <c r="CD29" i="1" s="1"/>
  <c r="BU7" i="1"/>
  <c r="CC21" i="1" s="1"/>
  <c r="BW7" i="1"/>
  <c r="CE29" i="1" s="1"/>
  <c r="CB30" i="1"/>
  <c r="BY7" i="1"/>
  <c r="CG12" i="1" s="1"/>
  <c r="CD54" i="1" l="1"/>
  <c r="CD9" i="1"/>
  <c r="CD74" i="1"/>
  <c r="CC46" i="1"/>
  <c r="CC63" i="1"/>
  <c r="CC14" i="1"/>
  <c r="CC55" i="1"/>
  <c r="CC31" i="1"/>
  <c r="CB74" i="1"/>
  <c r="CB42" i="1"/>
  <c r="CB26" i="1"/>
  <c r="CB49" i="1"/>
  <c r="CB65" i="1"/>
  <c r="CB69" i="1"/>
  <c r="CE55" i="1"/>
  <c r="CE23" i="1"/>
  <c r="CE74" i="1"/>
  <c r="CE65" i="1"/>
  <c r="CE42" i="1"/>
  <c r="CE45" i="1"/>
  <c r="CG75" i="1"/>
  <c r="CG68" i="1"/>
  <c r="CG72" i="1"/>
  <c r="CG37" i="1"/>
  <c r="CG32" i="1"/>
  <c r="CG73" i="1"/>
  <c r="CF71" i="1"/>
  <c r="CD56" i="1"/>
  <c r="CF46" i="1"/>
  <c r="CF21" i="1"/>
  <c r="CF60" i="1"/>
  <c r="CF25" i="1"/>
  <c r="CD55" i="1"/>
  <c r="CD73" i="1"/>
  <c r="CD65" i="1"/>
  <c r="CD25" i="1"/>
  <c r="CD47" i="1"/>
  <c r="CD60" i="1"/>
  <c r="CC20" i="1"/>
  <c r="CC60" i="1"/>
  <c r="CC24" i="1"/>
  <c r="CC27" i="1"/>
  <c r="CC59" i="1"/>
  <c r="CB20" i="1"/>
  <c r="CB54" i="1"/>
  <c r="CB71" i="1"/>
  <c r="CB55" i="1"/>
  <c r="CB44" i="1"/>
  <c r="CB29" i="1"/>
  <c r="CE77" i="1"/>
  <c r="CE32" i="1"/>
  <c r="CE18" i="1"/>
  <c r="CE16" i="1"/>
  <c r="CE69" i="1"/>
  <c r="CE64" i="1"/>
  <c r="CG42" i="1"/>
  <c r="CG36" i="1"/>
  <c r="CG55" i="1"/>
  <c r="CG45" i="1"/>
  <c r="CG54" i="1"/>
  <c r="CG51" i="1"/>
  <c r="CF26" i="1"/>
  <c r="CF57" i="1"/>
  <c r="CF55" i="1"/>
  <c r="CF74" i="1"/>
  <c r="CF9" i="1"/>
  <c r="CF62" i="1"/>
  <c r="CD26" i="1"/>
  <c r="CD17" i="1"/>
  <c r="CD10" i="1"/>
  <c r="CD24" i="1"/>
  <c r="CD62" i="1"/>
  <c r="CC29" i="1"/>
  <c r="CC65" i="1"/>
  <c r="CC16" i="1"/>
  <c r="CC62" i="1"/>
  <c r="CC66" i="1"/>
  <c r="CC68" i="1"/>
  <c r="CB12" i="1"/>
  <c r="CB37" i="1"/>
  <c r="CB14" i="1"/>
  <c r="CB16" i="1"/>
  <c r="CB57" i="1"/>
  <c r="CB38" i="1"/>
  <c r="CE52" i="1"/>
  <c r="CE37" i="1"/>
  <c r="CE17" i="1"/>
  <c r="CE21" i="1"/>
  <c r="CE14" i="1"/>
  <c r="CE25" i="1"/>
  <c r="CG20" i="1"/>
  <c r="CG66" i="1"/>
  <c r="CG56" i="1"/>
  <c r="CG69" i="1"/>
  <c r="CG26" i="1"/>
  <c r="CG71" i="1"/>
  <c r="CF54" i="1"/>
  <c r="CF36" i="1"/>
  <c r="CF49" i="1"/>
  <c r="CF50" i="1"/>
  <c r="CF30" i="1"/>
  <c r="CF40" i="1"/>
  <c r="CD42" i="1"/>
  <c r="CD41" i="1"/>
  <c r="CD14" i="1"/>
  <c r="CD34" i="1"/>
  <c r="CD28" i="1"/>
  <c r="CC69" i="1"/>
  <c r="CC44" i="1"/>
  <c r="CC56" i="1"/>
  <c r="CC41" i="1"/>
  <c r="CC10" i="1"/>
  <c r="CC76" i="1"/>
  <c r="CB68" i="1"/>
  <c r="CB23" i="1"/>
  <c r="CB39" i="1"/>
  <c r="CB62" i="1"/>
  <c r="CB76" i="1"/>
  <c r="CB58" i="1"/>
  <c r="CE13" i="1"/>
  <c r="CE47" i="1"/>
  <c r="CE54" i="1"/>
  <c r="CE15" i="1"/>
  <c r="CE48" i="1"/>
  <c r="CE56" i="1"/>
  <c r="CG41" i="1"/>
  <c r="CG47" i="1"/>
  <c r="CG44" i="1"/>
  <c r="CG13" i="1"/>
  <c r="CG14" i="1"/>
  <c r="CG33" i="1"/>
  <c r="CF68" i="1"/>
  <c r="CF75" i="1"/>
  <c r="CF13" i="1"/>
  <c r="CF22" i="1"/>
  <c r="CF20" i="1"/>
  <c r="CD58" i="1"/>
  <c r="CD46" i="1"/>
  <c r="CD30" i="1"/>
  <c r="CD15" i="1"/>
  <c r="CD61" i="1"/>
  <c r="CD44" i="1"/>
  <c r="CC72" i="1"/>
  <c r="CC26" i="1"/>
  <c r="CC22" i="1"/>
  <c r="CC43" i="1"/>
  <c r="CC71" i="1"/>
  <c r="CC32" i="1"/>
  <c r="CB11" i="1"/>
  <c r="CB31" i="1"/>
  <c r="CB45" i="1"/>
  <c r="CB72" i="1"/>
  <c r="CB51" i="1"/>
  <c r="CB64" i="1"/>
  <c r="CE50" i="1"/>
  <c r="CE59" i="1"/>
  <c r="CE20" i="1"/>
  <c r="CE71" i="1"/>
  <c r="CE43" i="1"/>
  <c r="CE75" i="1"/>
  <c r="CG19" i="1"/>
  <c r="CG63" i="1"/>
  <c r="CG77" i="1"/>
  <c r="CG9" i="1"/>
  <c r="CG48" i="1"/>
  <c r="CG50" i="1"/>
  <c r="CF23" i="1"/>
  <c r="CF59" i="1"/>
  <c r="CF19" i="1"/>
  <c r="CF32" i="1"/>
  <c r="CF76" i="1"/>
  <c r="CD72" i="1"/>
  <c r="CD43" i="1"/>
  <c r="CD37" i="1"/>
  <c r="CD13" i="1"/>
  <c r="CD53" i="1"/>
  <c r="CD59" i="1"/>
  <c r="CC9" i="1"/>
  <c r="CC19" i="1"/>
  <c r="CC45" i="1"/>
  <c r="CC61" i="1"/>
  <c r="CC49" i="1"/>
  <c r="CC23" i="1"/>
  <c r="CB40" i="1"/>
  <c r="CB36" i="1"/>
  <c r="CB43" i="1"/>
  <c r="CB46" i="1"/>
  <c r="CB19" i="1"/>
  <c r="CB75" i="1"/>
  <c r="CE67" i="1"/>
  <c r="CE51" i="1"/>
  <c r="CE24" i="1"/>
  <c r="CE28" i="1"/>
  <c r="CE19" i="1"/>
  <c r="CE58" i="1"/>
  <c r="CG60" i="1"/>
  <c r="CG31" i="1"/>
  <c r="CG46" i="1"/>
  <c r="CG23" i="1"/>
  <c r="CG64" i="1"/>
  <c r="CG22" i="1"/>
  <c r="CF28" i="1"/>
  <c r="CC35" i="1"/>
  <c r="CB13" i="1"/>
  <c r="CB22" i="1"/>
  <c r="CB17" i="1"/>
  <c r="CB66" i="1"/>
  <c r="CE39" i="1"/>
  <c r="CE12" i="1"/>
  <c r="CE44" i="1"/>
  <c r="CE62" i="1"/>
  <c r="CE9" i="1"/>
  <c r="CE27" i="1"/>
  <c r="CG39" i="1"/>
  <c r="CG74" i="1"/>
  <c r="CG59" i="1"/>
  <c r="CG28" i="1"/>
  <c r="CG53" i="1"/>
  <c r="CG10" i="1"/>
  <c r="CD38" i="1"/>
  <c r="CD68" i="1"/>
  <c r="CC53" i="1"/>
  <c r="CB63" i="1"/>
  <c r="CF33" i="1"/>
  <c r="CF58" i="1"/>
  <c r="CF18" i="1"/>
  <c r="CF77" i="1"/>
  <c r="CF31" i="1"/>
  <c r="CF37" i="1"/>
  <c r="CD23" i="1"/>
  <c r="CD16" i="1"/>
  <c r="CD32" i="1"/>
  <c r="CD36" i="1"/>
  <c r="CD66" i="1"/>
  <c r="CD76" i="1"/>
  <c r="CC73" i="1"/>
  <c r="CC15" i="1"/>
  <c r="CC48" i="1"/>
  <c r="CC12" i="1"/>
  <c r="CC13" i="1"/>
  <c r="CC18" i="1"/>
  <c r="CB77" i="1"/>
  <c r="CB15" i="1"/>
  <c r="CB41" i="1"/>
  <c r="CB47" i="1"/>
  <c r="CB27" i="1"/>
  <c r="CB59" i="1"/>
  <c r="CE66" i="1"/>
  <c r="CE60" i="1"/>
  <c r="CE31" i="1"/>
  <c r="CE63" i="1"/>
  <c r="CE26" i="1"/>
  <c r="CE57" i="1"/>
  <c r="CG40" i="1"/>
  <c r="CG8" i="1"/>
  <c r="CG15" i="1"/>
  <c r="CG16" i="1"/>
  <c r="CG21" i="1"/>
  <c r="CF24" i="1"/>
  <c r="CF63" i="1"/>
  <c r="CD8" i="1"/>
  <c r="CC74" i="1"/>
  <c r="CF45" i="1"/>
  <c r="CF51" i="1"/>
  <c r="CF42" i="1"/>
  <c r="CF65" i="1"/>
  <c r="CF11" i="1"/>
  <c r="CF15" i="1"/>
  <c r="CD22" i="1"/>
  <c r="CD20" i="1"/>
  <c r="CD49" i="1"/>
  <c r="CD63" i="1"/>
  <c r="CD64" i="1"/>
  <c r="CD18" i="1"/>
  <c r="CC67" i="1"/>
  <c r="CC40" i="1"/>
  <c r="CC42" i="1"/>
  <c r="CC64" i="1"/>
  <c r="CC17" i="1"/>
  <c r="CC28" i="1"/>
  <c r="CB25" i="1"/>
  <c r="CB28" i="1"/>
  <c r="CB52" i="1"/>
  <c r="CB56" i="1"/>
  <c r="CB34" i="1"/>
  <c r="CB53" i="1"/>
  <c r="CE30" i="1"/>
  <c r="CE34" i="1"/>
  <c r="CE49" i="1"/>
  <c r="CE11" i="1"/>
  <c r="CE35" i="1"/>
  <c r="CE8" i="1"/>
  <c r="CG65" i="1"/>
  <c r="CG38" i="1"/>
  <c r="CG70" i="1"/>
  <c r="CG49" i="1"/>
  <c r="CG29" i="1"/>
  <c r="CF43" i="1"/>
  <c r="CD21" i="1"/>
  <c r="CF72" i="1"/>
  <c r="CD31" i="1"/>
  <c r="CD51" i="1"/>
  <c r="CC50" i="1"/>
  <c r="CF70" i="1"/>
  <c r="CF47" i="1"/>
  <c r="CF73" i="1"/>
  <c r="CF44" i="1"/>
  <c r="CF12" i="1"/>
  <c r="CF66" i="1"/>
  <c r="CD67" i="1"/>
  <c r="CD40" i="1"/>
  <c r="CD45" i="1"/>
  <c r="CD71" i="1"/>
  <c r="CD27" i="1"/>
  <c r="CD69" i="1"/>
  <c r="CC38" i="1"/>
  <c r="CC70" i="1"/>
  <c r="CC30" i="1"/>
  <c r="CC75" i="1"/>
  <c r="CC77" i="1"/>
  <c r="CC57" i="1"/>
  <c r="CB21" i="1"/>
  <c r="CB18" i="1"/>
  <c r="CB61" i="1"/>
  <c r="CB73" i="1"/>
  <c r="CB8" i="1"/>
  <c r="CB50" i="1"/>
  <c r="CE72" i="1"/>
  <c r="CE68" i="1"/>
  <c r="CE38" i="1"/>
  <c r="CE46" i="1"/>
  <c r="CE36" i="1"/>
  <c r="CG57" i="1"/>
  <c r="CG27" i="1"/>
  <c r="CG34" i="1"/>
  <c r="CG35" i="1"/>
  <c r="CG43" i="1"/>
  <c r="CG52" i="1"/>
  <c r="CF16" i="1"/>
  <c r="CF35" i="1"/>
  <c r="CF41" i="1"/>
  <c r="CF17" i="1"/>
  <c r="CD48" i="1"/>
  <c r="CC54" i="1"/>
  <c r="CB32" i="1"/>
  <c r="CF56" i="1"/>
  <c r="CF67" i="1"/>
  <c r="CF69" i="1"/>
  <c r="CF34" i="1"/>
  <c r="CF38" i="1"/>
  <c r="CF14" i="1"/>
  <c r="CD35" i="1"/>
  <c r="CD12" i="1"/>
  <c r="CD19" i="1"/>
  <c r="CD77" i="1"/>
  <c r="CD39" i="1"/>
  <c r="CD57" i="1"/>
  <c r="CC34" i="1"/>
  <c r="CC36" i="1"/>
  <c r="CC8" i="1"/>
  <c r="CC51" i="1"/>
  <c r="CC47" i="1"/>
  <c r="CC33" i="1"/>
  <c r="BZ7" i="1"/>
  <c r="CB35" i="1"/>
  <c r="CB10" i="1"/>
  <c r="CB70" i="1"/>
  <c r="CB67" i="1"/>
  <c r="CB48" i="1"/>
  <c r="CE53" i="1"/>
  <c r="CE76" i="1"/>
  <c r="CE41" i="1"/>
  <c r="CE22" i="1"/>
  <c r="CE70" i="1"/>
  <c r="CG25" i="1"/>
  <c r="CG76" i="1"/>
  <c r="CG61" i="1"/>
  <c r="CG30" i="1"/>
  <c r="CG67" i="1"/>
  <c r="CG24" i="1"/>
  <c r="CF8" i="1"/>
  <c r="CF52" i="1"/>
  <c r="CF39" i="1"/>
  <c r="CF27" i="1"/>
  <c r="CD70" i="1"/>
  <c r="CC25" i="1"/>
  <c r="CF48" i="1"/>
  <c r="CF64" i="1"/>
  <c r="CF10" i="1"/>
  <c r="CF29" i="1"/>
  <c r="CF53" i="1"/>
  <c r="CD33" i="1"/>
  <c r="CD52" i="1"/>
  <c r="CD50" i="1"/>
  <c r="CD11" i="1"/>
  <c r="CD75" i="1"/>
  <c r="CC52" i="1"/>
  <c r="CC37" i="1"/>
  <c r="CC58" i="1"/>
  <c r="CC39" i="1"/>
  <c r="CC11" i="1"/>
  <c r="CB60" i="1"/>
  <c r="CB33" i="1"/>
  <c r="CB24" i="1"/>
  <c r="CB9" i="1"/>
  <c r="CE61" i="1"/>
  <c r="CE73" i="1"/>
  <c r="CE33" i="1"/>
  <c r="CE40" i="1"/>
  <c r="CE10" i="1"/>
  <c r="CG62" i="1"/>
  <c r="CG58" i="1"/>
  <c r="CG17" i="1"/>
  <c r="CG18" i="1"/>
  <c r="CG11" i="1"/>
</calcChain>
</file>

<file path=xl/sharedStrings.xml><?xml version="1.0" encoding="utf-8"?>
<sst xmlns="http://schemas.openxmlformats.org/spreadsheetml/2006/main" count="153" uniqueCount="59">
  <si>
    <t>CAT 1</t>
  </si>
  <si>
    <t>Corresponding CO#</t>
  </si>
  <si>
    <t>CO1</t>
  </si>
  <si>
    <t>CO2</t>
  </si>
  <si>
    <t>CO3</t>
  </si>
  <si>
    <t>CO4</t>
  </si>
  <si>
    <t>CO5</t>
  </si>
  <si>
    <t>CO6</t>
  </si>
  <si>
    <t>Question Number</t>
  </si>
  <si>
    <t>A1</t>
  </si>
  <si>
    <t>A2</t>
  </si>
  <si>
    <t>A3</t>
  </si>
  <si>
    <t>A4</t>
  </si>
  <si>
    <t>A5</t>
  </si>
  <si>
    <t>B1</t>
  </si>
  <si>
    <t>B2</t>
  </si>
  <si>
    <t>B3</t>
  </si>
  <si>
    <t>C1</t>
  </si>
  <si>
    <t>C2</t>
  </si>
  <si>
    <t>C3</t>
  </si>
  <si>
    <t>C4</t>
  </si>
  <si>
    <t>C5</t>
  </si>
  <si>
    <t>C6</t>
  </si>
  <si>
    <t>Total</t>
  </si>
  <si>
    <t>Max Marks</t>
  </si>
  <si>
    <t>CAT 2</t>
  </si>
  <si>
    <t>ASSIGNMENT 1</t>
  </si>
  <si>
    <t>A6</t>
  </si>
  <si>
    <t xml:space="preserve">    </t>
  </si>
  <si>
    <t>ASSIGNMENT 2</t>
  </si>
  <si>
    <t>CO BASED TOTAL MARKS 
(Internal Assessment only) out of 200</t>
  </si>
  <si>
    <t>CO BASED Percentage of marks        (Internal Assessment only)</t>
  </si>
  <si>
    <t>Sub code/ Sub Name:</t>
  </si>
  <si>
    <t xml:space="preserve">Faculty Incharge: </t>
  </si>
  <si>
    <t xml:space="preserve">Semester: </t>
  </si>
  <si>
    <t>CO</t>
  </si>
  <si>
    <t>Course Outcome</t>
  </si>
  <si>
    <t>TCE Proficiency Scale</t>
  </si>
  <si>
    <t>Expected Proficiency in %</t>
  </si>
  <si>
    <t>Expected Attainment Level %</t>
  </si>
  <si>
    <t>PART -A</t>
  </si>
  <si>
    <t>B4</t>
  </si>
  <si>
    <t>B5</t>
  </si>
  <si>
    <t>B6</t>
  </si>
  <si>
    <t>PART-B</t>
  </si>
  <si>
    <t>C7</t>
  </si>
  <si>
    <t>C8</t>
  </si>
  <si>
    <t>PART-C</t>
  </si>
  <si>
    <t>PART-A</t>
  </si>
  <si>
    <t>C01</t>
  </si>
  <si>
    <t>10</t>
  </si>
  <si>
    <t>Sno</t>
  </si>
  <si>
    <t>Reg No</t>
  </si>
  <si>
    <t xml:space="preserve">Name of the student </t>
  </si>
  <si>
    <t xml:space="preserve"> </t>
  </si>
  <si>
    <t xml:space="preserve">Academic Year : </t>
  </si>
  <si>
    <t>21CSPK0/ Deep Learning</t>
  </si>
  <si>
    <t>Mr. S. Santhana Hari</t>
  </si>
  <si>
    <t>VII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</si>
</sst>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0" fontId="7" fillId="0" borderId="0" xfId="0" applyFont="1" applyAlignment="1">
      <alignment horizontal="left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justify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 wrapText="1"/>
    </xf>
    <xf numFmtId="0" fontId="0" fillId="0" borderId="0" xfId="0" applyProtection="1"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Protection="1">
      <protection locked="0"/>
    </xf>
    <xf numFmtId="0" fontId="1" fillId="5" borderId="1" xfId="0" applyFont="1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3" fillId="6" borderId="1" xfId="0" applyFont="1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 wrapText="1"/>
    </xf>
    <xf numFmtId="0" fontId="1" fillId="3" borderId="6" xfId="0" applyFont="1" applyFill="1" applyBorder="1" applyAlignment="1" applyProtection="1">
      <alignment horizontal="center" vertical="center" wrapText="1"/>
      <protection locked="0"/>
    </xf>
    <xf numFmtId="0" fontId="1" fillId="4" borderId="6" xfId="0" applyFont="1" applyFill="1" applyBorder="1" applyAlignment="1" applyProtection="1">
      <alignment horizontal="center" vertical="center" wrapText="1"/>
      <protection locked="0"/>
    </xf>
    <xf numFmtId="0" fontId="1" fillId="6" borderId="6" xfId="0" applyFont="1" applyFill="1" applyBorder="1" applyAlignment="1" applyProtection="1">
      <alignment horizontal="center"/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10" fillId="0" borderId="8" xfId="0" applyFont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7" fillId="8" borderId="4" xfId="0" applyFont="1" applyFill="1" applyBorder="1" applyAlignment="1" applyProtection="1">
      <alignment horizontal="center"/>
      <protection locked="0"/>
    </xf>
    <xf numFmtId="0" fontId="0" fillId="8" borderId="5" xfId="0" applyFill="1" applyBorder="1" applyAlignment="1" applyProtection="1">
      <alignment horizontal="center"/>
      <protection locked="0"/>
    </xf>
    <xf numFmtId="0" fontId="0" fillId="8" borderId="6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1"/>
  <sheetViews>
    <sheetView workbookViewId="0">
      <selection activeCell="C4" sqref="C4"/>
    </sheetView>
  </sheetViews>
  <sheetFormatPr defaultRowHeight="14.5" x14ac:dyDescent="0.35"/>
  <cols>
    <col min="2" max="2" width="31" customWidth="1"/>
    <col min="3" max="3" width="69.1796875" customWidth="1"/>
    <col min="4" max="4" width="24" customWidth="1"/>
    <col min="5" max="5" width="17.81640625" customWidth="1"/>
    <col min="6" max="6" width="17.26953125" customWidth="1"/>
  </cols>
  <sheetData>
    <row r="1" spans="2:6" ht="18.5" x14ac:dyDescent="0.45">
      <c r="B1" s="1"/>
      <c r="C1" s="9" t="s">
        <v>55</v>
      </c>
    </row>
    <row r="2" spans="2:6" ht="18.5" x14ac:dyDescent="0.45">
      <c r="B2" s="10" t="s">
        <v>32</v>
      </c>
      <c r="C2" s="9" t="s">
        <v>56</v>
      </c>
      <c r="D2" s="9"/>
    </row>
    <row r="3" spans="2:6" ht="18.5" x14ac:dyDescent="0.45">
      <c r="B3" s="10" t="s">
        <v>33</v>
      </c>
      <c r="C3" s="44" t="s">
        <v>57</v>
      </c>
      <c r="D3" s="9"/>
    </row>
    <row r="4" spans="2:6" ht="18.5" x14ac:dyDescent="0.45">
      <c r="B4" s="10" t="s">
        <v>34</v>
      </c>
      <c r="C4" s="9" t="s">
        <v>58</v>
      </c>
      <c r="D4" s="9"/>
    </row>
    <row r="5" spans="2:6" s="12" customFormat="1" ht="29" x14ac:dyDescent="0.35">
      <c r="B5" s="11" t="s">
        <v>35</v>
      </c>
      <c r="C5" s="11" t="s">
        <v>36</v>
      </c>
      <c r="D5" s="11" t="s">
        <v>37</v>
      </c>
      <c r="E5" s="11" t="s">
        <v>38</v>
      </c>
      <c r="F5" s="11" t="s">
        <v>39</v>
      </c>
    </row>
    <row r="6" spans="2:6" x14ac:dyDescent="0.35">
      <c r="B6" s="13" t="s">
        <v>2</v>
      </c>
      <c r="C6" s="14"/>
      <c r="D6" s="15"/>
      <c r="E6" s="15"/>
      <c r="F6" s="15"/>
    </row>
    <row r="7" spans="2:6" x14ac:dyDescent="0.35">
      <c r="B7" s="13" t="s">
        <v>3</v>
      </c>
      <c r="C7" s="16"/>
      <c r="D7" s="15"/>
      <c r="E7" s="15"/>
      <c r="F7" s="15"/>
    </row>
    <row r="8" spans="2:6" ht="15.5" x14ac:dyDescent="0.35">
      <c r="B8" s="17" t="s">
        <v>4</v>
      </c>
      <c r="C8" s="18"/>
      <c r="D8" s="15"/>
      <c r="E8" s="15"/>
      <c r="F8" s="15"/>
    </row>
    <row r="9" spans="2:6" ht="15.5" x14ac:dyDescent="0.35">
      <c r="B9" s="17" t="s">
        <v>5</v>
      </c>
      <c r="C9" s="18"/>
      <c r="D9" s="15"/>
      <c r="E9" s="15"/>
      <c r="F9" s="15"/>
    </row>
    <row r="10" spans="2:6" ht="15.5" x14ac:dyDescent="0.35">
      <c r="B10" s="17" t="s">
        <v>6</v>
      </c>
      <c r="C10" s="18"/>
      <c r="D10" s="15"/>
      <c r="E10" s="15"/>
      <c r="F10" s="15"/>
    </row>
    <row r="11" spans="2:6" ht="15.5" x14ac:dyDescent="0.35">
      <c r="B11" s="17" t="s">
        <v>7</v>
      </c>
      <c r="C11" s="18"/>
      <c r="D11" s="15"/>
      <c r="E11" s="15"/>
      <c r="F11" s="1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G200"/>
  <sheetViews>
    <sheetView tabSelected="1" zoomScale="14" workbookViewId="0">
      <selection activeCell="AA8" sqref="AA8:AM8"/>
    </sheetView>
  </sheetViews>
  <sheetFormatPr defaultColWidth="9.1796875" defaultRowHeight="14.5" x14ac:dyDescent="0.35"/>
  <cols>
    <col min="1" max="1" width="5.453125" style="19" customWidth="1"/>
    <col min="2" max="2" width="12.7265625" style="19" customWidth="1"/>
    <col min="3" max="3" width="19.26953125" style="19" customWidth="1"/>
    <col min="4" max="4" width="16.7265625" style="19" customWidth="1"/>
    <col min="5" max="11" width="9.1796875" style="7"/>
    <col min="12" max="12" width="9.1796875" style="19"/>
    <col min="13" max="13" width="9.1796875" style="7"/>
    <col min="14" max="16" width="9.1796875" style="19"/>
    <col min="17" max="18" width="9.1796875" style="7"/>
    <col min="19" max="19" width="9.1796875" style="7" customWidth="1"/>
    <col min="20" max="24" width="9.1796875" style="7"/>
    <col min="25" max="26" width="9.1796875" style="19"/>
    <col min="27" max="33" width="9.1796875" style="7"/>
    <col min="34" max="34" width="9.1796875" style="19"/>
    <col min="35" max="35" width="9.1796875" style="7"/>
    <col min="36" max="38" width="9.1796875" style="19"/>
    <col min="39" max="46" width="9.1796875" style="7"/>
    <col min="47" max="71" width="9.1796875" style="19"/>
    <col min="78" max="78" width="6.81640625" bestFit="1" customWidth="1"/>
    <col min="79" max="79" width="9.1796875" style="19"/>
    <col min="80" max="85" width="9.7265625" customWidth="1"/>
    <col min="86" max="16384" width="9.1796875" style="19"/>
  </cols>
  <sheetData>
    <row r="1" spans="1:85" ht="11.25" customHeight="1" x14ac:dyDescent="0.35">
      <c r="BT1" s="45" t="s">
        <v>30</v>
      </c>
      <c r="BU1" s="45"/>
      <c r="BV1" s="45"/>
      <c r="BW1" s="45"/>
      <c r="BX1" s="45"/>
      <c r="BY1" s="45"/>
      <c r="BZ1" s="45"/>
    </row>
    <row r="2" spans="1:85" ht="15" hidden="1" customHeight="1" x14ac:dyDescent="0.35">
      <c r="BT2" s="45"/>
      <c r="BU2" s="45"/>
      <c r="BV2" s="45"/>
      <c r="BW2" s="45"/>
      <c r="BX2" s="45"/>
      <c r="BY2" s="45"/>
      <c r="BZ2" s="45"/>
    </row>
    <row r="3" spans="1:85" ht="32.25" customHeight="1" x14ac:dyDescent="0.7">
      <c r="E3" s="49" t="s">
        <v>0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AA3" s="54" t="s">
        <v>25</v>
      </c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20"/>
      <c r="AT3" s="20"/>
      <c r="BT3" s="45"/>
      <c r="BU3" s="45"/>
      <c r="BV3" s="45"/>
      <c r="BW3" s="45"/>
      <c r="BX3" s="45"/>
      <c r="BY3" s="45"/>
      <c r="BZ3" s="45"/>
    </row>
    <row r="4" spans="1:85" ht="23.25" customHeight="1" x14ac:dyDescent="0.45">
      <c r="E4" s="51" t="s">
        <v>40</v>
      </c>
      <c r="F4" s="52"/>
      <c r="G4" s="52"/>
      <c r="H4" s="52"/>
      <c r="I4" s="52"/>
      <c r="J4" s="53"/>
      <c r="K4" s="51" t="s">
        <v>44</v>
      </c>
      <c r="L4" s="52"/>
      <c r="M4" s="52"/>
      <c r="N4" s="52"/>
      <c r="O4" s="52"/>
      <c r="P4" s="53"/>
      <c r="Q4" s="51" t="s">
        <v>47</v>
      </c>
      <c r="R4" s="52"/>
      <c r="S4" s="52"/>
      <c r="T4" s="52"/>
      <c r="U4" s="52"/>
      <c r="V4" s="52"/>
      <c r="W4" s="52"/>
      <c r="X4" s="53"/>
      <c r="Y4" s="21"/>
      <c r="AA4" s="56" t="s">
        <v>48</v>
      </c>
      <c r="AB4" s="57"/>
      <c r="AC4" s="57"/>
      <c r="AD4" s="57"/>
      <c r="AE4" s="57"/>
      <c r="AF4" s="58"/>
      <c r="AG4" s="51" t="s">
        <v>44</v>
      </c>
      <c r="AH4" s="52"/>
      <c r="AI4" s="52"/>
      <c r="AJ4" s="52"/>
      <c r="AK4" s="52"/>
      <c r="AL4" s="53"/>
      <c r="AM4" s="51" t="s">
        <v>47</v>
      </c>
      <c r="AN4" s="52"/>
      <c r="AO4" s="52"/>
      <c r="AP4" s="52"/>
      <c r="AQ4" s="52"/>
      <c r="AR4" s="52"/>
      <c r="AS4" s="52"/>
      <c r="AT4" s="53"/>
      <c r="AU4" s="22"/>
      <c r="BD4" s="48" t="s">
        <v>26</v>
      </c>
      <c r="BE4" s="48"/>
      <c r="BF4" s="48"/>
      <c r="BG4" s="48"/>
      <c r="BH4" s="48"/>
      <c r="BI4" s="48"/>
      <c r="BK4" s="19" t="s">
        <v>28</v>
      </c>
      <c r="BL4" s="48" t="s">
        <v>29</v>
      </c>
      <c r="BM4" s="48"/>
      <c r="BN4" s="48"/>
      <c r="BO4" s="48"/>
      <c r="BP4" s="48"/>
      <c r="BQ4" s="48"/>
      <c r="BT4" s="46"/>
      <c r="BU4" s="46"/>
      <c r="BV4" s="46"/>
      <c r="BW4" s="46"/>
      <c r="BX4" s="46"/>
      <c r="BY4" s="46"/>
      <c r="BZ4" s="46"/>
      <c r="CB4" s="47" t="s">
        <v>31</v>
      </c>
      <c r="CC4" s="47"/>
      <c r="CD4" s="47"/>
      <c r="CE4" s="47"/>
      <c r="CF4" s="47"/>
      <c r="CG4" s="47"/>
    </row>
    <row r="5" spans="1:85" ht="30" customHeight="1" x14ac:dyDescent="0.35">
      <c r="A5" s="43" t="s">
        <v>51</v>
      </c>
      <c r="B5" s="43" t="s">
        <v>52</v>
      </c>
      <c r="C5" s="43" t="s">
        <v>53</v>
      </c>
      <c r="D5" s="39" t="s">
        <v>1</v>
      </c>
      <c r="E5" s="2" t="s">
        <v>49</v>
      </c>
      <c r="F5" s="2" t="s">
        <v>2</v>
      </c>
      <c r="G5" s="2" t="s">
        <v>3</v>
      </c>
      <c r="H5" s="2" t="s">
        <v>3</v>
      </c>
      <c r="I5" s="2" t="s">
        <v>3</v>
      </c>
      <c r="J5" s="2"/>
      <c r="K5" s="2" t="s">
        <v>2</v>
      </c>
      <c r="L5" s="2" t="s">
        <v>3</v>
      </c>
      <c r="M5" s="2"/>
      <c r="N5" s="2"/>
      <c r="O5" s="2"/>
      <c r="P5" s="2"/>
      <c r="Q5" s="2" t="s">
        <v>3</v>
      </c>
      <c r="R5" s="2" t="s">
        <v>3</v>
      </c>
      <c r="S5" s="2" t="s">
        <v>4</v>
      </c>
      <c r="T5" s="2" t="s">
        <v>4</v>
      </c>
      <c r="U5" s="2"/>
      <c r="V5" s="2"/>
      <c r="W5" s="2"/>
      <c r="X5" s="2"/>
      <c r="Y5" s="23"/>
      <c r="AA5" s="2" t="s">
        <v>5</v>
      </c>
      <c r="AB5" s="2" t="s">
        <v>5</v>
      </c>
      <c r="AC5" s="2" t="s">
        <v>6</v>
      </c>
      <c r="AD5" s="2" t="s">
        <v>6</v>
      </c>
      <c r="AE5" s="2" t="s">
        <v>7</v>
      </c>
      <c r="AF5" s="2" t="s">
        <v>7</v>
      </c>
      <c r="AG5" s="2" t="s">
        <v>5</v>
      </c>
      <c r="AH5" s="2" t="s">
        <v>5</v>
      </c>
      <c r="AI5" s="2" t="s">
        <v>6</v>
      </c>
      <c r="AJ5" s="2" t="s">
        <v>6</v>
      </c>
      <c r="AK5" s="2"/>
      <c r="AL5" s="2"/>
      <c r="AM5" s="2" t="s">
        <v>5</v>
      </c>
      <c r="AN5" s="2" t="s">
        <v>5</v>
      </c>
      <c r="AO5" s="2" t="s">
        <v>6</v>
      </c>
      <c r="AP5" s="2" t="s">
        <v>6</v>
      </c>
      <c r="AQ5" s="2" t="s">
        <v>7</v>
      </c>
      <c r="AR5" s="2" t="s">
        <v>7</v>
      </c>
      <c r="AS5" s="2"/>
      <c r="AT5" s="2"/>
      <c r="AU5" s="23"/>
      <c r="AW5" s="2" t="s">
        <v>2</v>
      </c>
      <c r="AX5" s="2" t="s">
        <v>3</v>
      </c>
      <c r="AY5" s="2" t="s">
        <v>4</v>
      </c>
      <c r="AZ5" s="8" t="s">
        <v>5</v>
      </c>
      <c r="BA5" s="8" t="s">
        <v>6</v>
      </c>
      <c r="BB5" s="8" t="s">
        <v>7</v>
      </c>
      <c r="BD5" s="2" t="s">
        <v>2</v>
      </c>
      <c r="BE5" s="2" t="s">
        <v>3</v>
      </c>
      <c r="BF5" s="2" t="s">
        <v>4</v>
      </c>
      <c r="BG5" s="2" t="s">
        <v>5</v>
      </c>
      <c r="BH5" s="2" t="s">
        <v>6</v>
      </c>
      <c r="BI5" s="2" t="s">
        <v>7</v>
      </c>
      <c r="BJ5" s="24"/>
      <c r="BL5" s="2" t="s">
        <v>5</v>
      </c>
      <c r="BM5" s="2" t="s">
        <v>5</v>
      </c>
      <c r="BN5" s="2" t="s">
        <v>6</v>
      </c>
      <c r="BO5" s="2" t="s">
        <v>7</v>
      </c>
      <c r="BR5" s="24"/>
      <c r="BT5" s="34" t="s">
        <v>2</v>
      </c>
      <c r="BU5" s="34" t="s">
        <v>3</v>
      </c>
      <c r="BV5" s="34" t="s">
        <v>4</v>
      </c>
      <c r="BW5" s="34" t="s">
        <v>5</v>
      </c>
      <c r="BX5" s="34" t="s">
        <v>6</v>
      </c>
      <c r="BY5" s="34" t="s">
        <v>7</v>
      </c>
      <c r="BZ5" s="34" t="s">
        <v>23</v>
      </c>
      <c r="CB5" s="34" t="s">
        <v>2</v>
      </c>
      <c r="CC5" s="34" t="s">
        <v>3</v>
      </c>
      <c r="CD5" s="34" t="s">
        <v>4</v>
      </c>
      <c r="CE5" s="34" t="s">
        <v>5</v>
      </c>
      <c r="CF5" s="34" t="s">
        <v>6</v>
      </c>
      <c r="CG5" s="34" t="s">
        <v>7</v>
      </c>
    </row>
    <row r="6" spans="1:85" x14ac:dyDescent="0.35">
      <c r="A6" s="43"/>
      <c r="B6" s="43"/>
      <c r="C6" s="43"/>
      <c r="D6" s="40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27</v>
      </c>
      <c r="K6" s="3" t="s">
        <v>14</v>
      </c>
      <c r="L6" s="3" t="s">
        <v>15</v>
      </c>
      <c r="M6" s="3" t="s">
        <v>16</v>
      </c>
      <c r="N6" s="3" t="s">
        <v>41</v>
      </c>
      <c r="O6" s="3" t="s">
        <v>42</v>
      </c>
      <c r="P6" s="3" t="s">
        <v>43</v>
      </c>
      <c r="Q6" s="3" t="s">
        <v>17</v>
      </c>
      <c r="R6" s="3" t="s">
        <v>18</v>
      </c>
      <c r="S6" s="3" t="s">
        <v>19</v>
      </c>
      <c r="T6" s="3" t="s">
        <v>20</v>
      </c>
      <c r="U6" s="3" t="s">
        <v>21</v>
      </c>
      <c r="V6" s="3" t="s">
        <v>22</v>
      </c>
      <c r="W6" s="3" t="s">
        <v>45</v>
      </c>
      <c r="X6" s="3" t="s">
        <v>46</v>
      </c>
      <c r="Y6" s="25" t="s">
        <v>23</v>
      </c>
      <c r="AA6" s="3" t="s">
        <v>9</v>
      </c>
      <c r="AB6" s="3" t="s">
        <v>10</v>
      </c>
      <c r="AC6" s="3" t="s">
        <v>11</v>
      </c>
      <c r="AD6" s="3" t="s">
        <v>12</v>
      </c>
      <c r="AE6" s="3" t="s">
        <v>13</v>
      </c>
      <c r="AF6" s="3" t="s">
        <v>27</v>
      </c>
      <c r="AG6" s="3" t="s">
        <v>14</v>
      </c>
      <c r="AH6" s="3" t="s">
        <v>15</v>
      </c>
      <c r="AI6" s="3" t="s">
        <v>16</v>
      </c>
      <c r="AJ6" s="3"/>
      <c r="AK6" s="3"/>
      <c r="AL6" s="3"/>
      <c r="AM6" s="3" t="s">
        <v>17</v>
      </c>
      <c r="AN6" s="3" t="s">
        <v>18</v>
      </c>
      <c r="AO6" s="3" t="s">
        <v>19</v>
      </c>
      <c r="AP6" s="3" t="s">
        <v>20</v>
      </c>
      <c r="AQ6" s="3" t="s">
        <v>21</v>
      </c>
      <c r="AR6" s="3" t="s">
        <v>22</v>
      </c>
      <c r="AS6" s="3" t="s">
        <v>45</v>
      </c>
      <c r="AT6" s="3" t="s">
        <v>46</v>
      </c>
      <c r="AU6" s="25" t="s">
        <v>23</v>
      </c>
      <c r="AW6" s="26"/>
      <c r="AX6" s="26"/>
      <c r="AY6" s="26"/>
      <c r="AZ6" s="26"/>
      <c r="BA6" s="26"/>
      <c r="BB6" s="26"/>
      <c r="BD6" s="3" t="s">
        <v>9</v>
      </c>
      <c r="BE6" s="3" t="s">
        <v>10</v>
      </c>
      <c r="BF6" s="3" t="s">
        <v>11</v>
      </c>
      <c r="BG6" s="3" t="s">
        <v>12</v>
      </c>
      <c r="BH6" s="3" t="s">
        <v>13</v>
      </c>
      <c r="BI6" s="3" t="s">
        <v>27</v>
      </c>
      <c r="BJ6" s="27" t="s">
        <v>23</v>
      </c>
      <c r="BL6" s="3" t="s">
        <v>9</v>
      </c>
      <c r="BM6" s="3" t="s">
        <v>10</v>
      </c>
      <c r="BN6" s="3" t="s">
        <v>11</v>
      </c>
      <c r="BO6" s="3" t="s">
        <v>12</v>
      </c>
      <c r="BP6" s="3" t="s">
        <v>13</v>
      </c>
      <c r="BQ6" s="3" t="s">
        <v>27</v>
      </c>
      <c r="BR6" s="27" t="s">
        <v>23</v>
      </c>
      <c r="BU6" s="35"/>
      <c r="BV6" s="35"/>
      <c r="BW6" s="35"/>
      <c r="BX6" s="35"/>
      <c r="BY6" s="35"/>
      <c r="CB6" s="35"/>
      <c r="CC6" s="35"/>
      <c r="CD6" s="35"/>
      <c r="CE6" s="35"/>
      <c r="CF6" s="35"/>
      <c r="CG6" s="35"/>
    </row>
    <row r="7" spans="1:85" ht="15.5" x14ac:dyDescent="0.35">
      <c r="A7" s="43"/>
      <c r="B7" s="43"/>
      <c r="C7" s="43"/>
      <c r="D7" s="41" t="s">
        <v>24</v>
      </c>
      <c r="E7" s="4">
        <v>2</v>
      </c>
      <c r="F7" s="4">
        <v>2</v>
      </c>
      <c r="G7" s="4">
        <v>2</v>
      </c>
      <c r="H7" s="4">
        <v>2</v>
      </c>
      <c r="I7" s="4">
        <v>2</v>
      </c>
      <c r="J7" s="4"/>
      <c r="K7" s="4">
        <v>10</v>
      </c>
      <c r="L7" s="4">
        <v>10</v>
      </c>
      <c r="M7" s="4"/>
      <c r="N7" s="4"/>
      <c r="O7" s="4"/>
      <c r="P7" s="4"/>
      <c r="Q7" s="4">
        <v>15</v>
      </c>
      <c r="R7" s="4">
        <v>15</v>
      </c>
      <c r="S7" s="4">
        <v>15</v>
      </c>
      <c r="T7" s="4">
        <v>15</v>
      </c>
      <c r="U7" s="4"/>
      <c r="V7" s="4"/>
      <c r="W7" s="4"/>
      <c r="X7" s="4"/>
      <c r="Y7" s="31">
        <f>SUM(E7:P7)+(IF(Q7&lt;&gt;"",Q7,R7))+(IF(S7&lt;&gt;"",S7,T7))+(IF(U7&lt;&gt;"",U7,V7))+(IF(W7&lt;&gt;"",W7,X7))</f>
        <v>60</v>
      </c>
      <c r="AA7" s="4">
        <v>3</v>
      </c>
      <c r="AB7" s="4">
        <v>3</v>
      </c>
      <c r="AC7" s="4">
        <v>3</v>
      </c>
      <c r="AD7" s="4">
        <v>3</v>
      </c>
      <c r="AE7" s="4">
        <v>3</v>
      </c>
      <c r="AF7" s="4">
        <v>3</v>
      </c>
      <c r="AG7" s="4">
        <v>3</v>
      </c>
      <c r="AH7" s="4">
        <v>3</v>
      </c>
      <c r="AI7" s="4">
        <v>6</v>
      </c>
      <c r="AJ7" s="4"/>
      <c r="AK7" s="4"/>
      <c r="AL7" s="4"/>
      <c r="AM7" s="4" t="s">
        <v>50</v>
      </c>
      <c r="AN7" s="4" t="s">
        <v>50</v>
      </c>
      <c r="AO7" s="4" t="s">
        <v>50</v>
      </c>
      <c r="AP7" s="4" t="s">
        <v>50</v>
      </c>
      <c r="AQ7" s="4" t="s">
        <v>50</v>
      </c>
      <c r="AR7" s="4" t="s">
        <v>50</v>
      </c>
      <c r="AS7" s="4"/>
      <c r="AT7" s="4"/>
      <c r="AU7" s="31">
        <f>SUM(AA7:AL7)+(IF(AM7&lt;&gt;"",AM7,AN7))+(IF(AO7&lt;&gt;"",AO7,AP7))+(IF(AQ7&lt;&gt;"",AQ7,AR7))+(IF(AS7&lt;&gt;"",AS7,AT7))</f>
        <v>60</v>
      </c>
      <c r="AW7" s="32">
        <f>SUMPRODUCT(($E$5:$P$5="CO1")*(E7:P7))
+SUMPRODUCT(($AA$5:$AL$5="CO1")*(AA7:AL7))
+IF($Q$5="CO1",IF(Q7&lt;&gt;"",Q7,R7),0)
+IF($S$5="CO1",IF(S7&lt;&gt;"",S7,T7),0)
+IF($U$5="CO1",IF(U7&lt;&gt;"",U7,V7),0)
+IF($W$5="CO1",IF(W7&lt;&gt;"",W7,X7),0)
+IF($AM$5="CO1",IF(AM7&lt;&gt;"",AM7,AN7),0)
+IF($AO$5="CO1",IF(AO7&lt;&gt;"",AO7,AP7),0)
+IF($AQ$5="CO1",IF(AQ7&lt;&gt;"",AQ7,AR7),0)
+IF($AS$5="CO1",IF(AS7&lt;&gt;"",AS7,AT7),0)</f>
        <v>12</v>
      </c>
      <c r="AX7" s="32">
        <f>SUMPRODUCT(($E$5:$P$5="CO2")*(E7:P7))
+SUMPRODUCT(($AA$5:$AL$5="CO2")*(AA7:AL7))
+IF($Q$5="CO2",IF(R7&lt;&gt;"",R7,S7),0)
+IF($S$5="CO2",IF(T7&lt;&gt;"",T7,U7),0)
+IF($U$5="CO2",IF(V7&lt;&gt;"",V7,W7),0)
+IF($W$5="CO2",IF(X7&lt;&gt;"",X7,Y7),0)
+IF($AM$5="CO2",IF(AN7&lt;&gt;"",AN7,AO7),0)
+IF($AO$5="CO2",IF(AP7&lt;&gt;"",AP7,AQ7),0)
+IF($AQ$5="CO2",IF(AR7&lt;&gt;"",AR7,AS7),0)
+IF($AS$5="CO2",IF(AT7&lt;&gt;"",AT7,AU7),0)</f>
        <v>31</v>
      </c>
      <c r="AY7" s="32">
        <f>SUMPRODUCT(($E$5:$P$5="CO3")*(E7:P7))
+SUMPRODUCT(($AA$5:$AL$5="CO3")*(AA7:AL7))
+IF($Q$5="CO3",IF(Q7&lt;&gt;"",Q7,R7),0)
+IF($S$5="CO3",IF(S7&lt;&gt;"",S7,T7),0)
+IF($U$5="CO3",IF(U7&lt;&gt;"",U7,V7),0)
+IF($W$5="CO3",IF(W7&lt;&gt;"",W7,X7),0)
+IF($AM$5="CO3",IF(AM7&lt;&gt;"",AM7,AN7),0)
+IF($AO$5="CO3",IF(AO7&lt;&gt;"",AO7,AP7),0)
+IF($AQ$5="CO3",IF(AQ7&lt;&gt;"",AQ7,AR7),0)
+IF($AS$5="CO3",IF(AS7&lt;&gt;"",AS7,AT7),0)</f>
        <v>15</v>
      </c>
      <c r="AZ7" s="32">
        <f>SUMPRODUCT(($E$5:$P$5="CO4")*(E7:P7))
+SUMPRODUCT(($AA$5:$AL$5="CO4")*(AA7:AL7))
+IF($Q$5="CO4",IF(Q7&lt;&gt;"",Q7,R7),0)
+IF($S$5="CO4",IF(S7&lt;&gt;"",S7,T7),0)
+IF($U$5="CO4",IF(U7&lt;&gt;"",U7,V7),0)
+IF($W$5="CO4",IF(W7&lt;&gt;"",W7,X7),0)
+IF($AM$5="CO4",IF(AM7&lt;&gt;"",AM7,AN7),0)
+IF($AO$5="CO4",IF(AO7&lt;&gt;"",AO7,AP7),0)
+IF($AQ$5="CO4",IF(AQ7&lt;&gt;"",AQ7,AR7),0)
+IF($AS$5="CO4",IF(AS7&lt;&gt;"",AS7,AT7),0)</f>
        <v>22</v>
      </c>
      <c r="BA7" s="32">
        <f>SUMPRODUCT(($E$5:$P$5="CO5")*(E7:P7))
+SUMPRODUCT(($AA$5:$AL$5="CO5")*(AA7:AL7))
+IF($Q$5="CO5",IF(Q7&lt;&gt;"",Q7,R7),0)
+IF($S$5="CO5",IF(S7&lt;&gt;"",S7,T7),0)
+IF($U$5="CO5",IF(U7&lt;&gt;"",U7,V7),0)
+IF($W$5="CO5",IF(W7&lt;&gt;"",W7,X7),0)
+IF($AM$5="CO5",IF(AM7&lt;&gt;"",AM7,AN7),0)
+IF($AO$5="CO5",IF(AO7&lt;&gt;"",AO7,AP7),0)
+IF($AQ$5="CO5",IF(AQ7&lt;&gt;"",AQ7,AR7),0)
+IF($AS$5="CO5",IF(AS7&lt;&gt;"",AS7,AT7),0)</f>
        <v>22</v>
      </c>
      <c r="BB7" s="32">
        <f>SUMPRODUCT(($E$5:$P$5="CO6")*(E7:P7))
+SUMPRODUCT(($AA$5:$AL$5="CO6")*(AA7:AL7))
+IF($Q$5="CO6",IF(Q7&lt;&gt;"",Q7,R7),0)
+IF($S$5="CO6",IF(S7&lt;&gt;"",S7,T7),0)
+IF($U$5="CO6",IF(U7&lt;&gt;"",U7,V7),0)
+IF($W$5="CO6",IF(W7&lt;&gt;"",W7,X7),0)
+IF($AM$5="CO6",IF(AM7&lt;&gt;"",AM7,AN7),0)
+IF($AO$5="CO6",IF(AO7&lt;&gt;"",AO7,AP7),0)
+IF($AQ$5="CO6",IF(AQ7&lt;&gt;"",AQ7,AR7),0)
+IF($AS$5="CO6",IF(AS7&lt;&gt;"",AS7,AT7),0)</f>
        <v>16</v>
      </c>
      <c r="BD7" s="2">
        <v>10</v>
      </c>
      <c r="BE7" s="2">
        <v>15</v>
      </c>
      <c r="BF7" s="2">
        <v>15</v>
      </c>
      <c r="BG7" s="2">
        <v>0</v>
      </c>
      <c r="BH7" s="2">
        <v>0</v>
      </c>
      <c r="BI7" s="2">
        <v>0</v>
      </c>
      <c r="BJ7" s="33">
        <f>SUM(BD7:BI7)</f>
        <v>40</v>
      </c>
      <c r="BL7" s="2">
        <v>10</v>
      </c>
      <c r="BM7" s="2">
        <v>10</v>
      </c>
      <c r="BN7" s="2">
        <v>10</v>
      </c>
      <c r="BO7" s="2">
        <v>10</v>
      </c>
      <c r="BP7" s="2"/>
      <c r="BQ7" s="2"/>
      <c r="BR7" s="33">
        <f t="shared" ref="BR7:BR70" si="0">SUM(BL7:BQ7)</f>
        <v>40</v>
      </c>
      <c r="BT7" s="36">
        <f>SUMPRODUCT(($AW$5:$BQ$5="CO1")*AW7:BQ7)</f>
        <v>22</v>
      </c>
      <c r="BU7" s="36">
        <f>SUMPRODUCT(($AW$5:$BR$5="CO2")*AW7:BR7)</f>
        <v>46</v>
      </c>
      <c r="BV7" s="36">
        <f>SUMPRODUCT(($AW$5:$BR$5="CO3")*AW7:BR7)</f>
        <v>30</v>
      </c>
      <c r="BW7" s="36">
        <f>SUMPRODUCT(($AW$5:$BR$5="CO4")*AW7:BR7)</f>
        <v>42</v>
      </c>
      <c r="BX7" s="36">
        <f>SUMPRODUCT(($AW$5:$BR$5="CO5")*AW7:BR7)</f>
        <v>32</v>
      </c>
      <c r="BY7" s="36">
        <f>SUMPRODUCT(($AW$5:$BR$5="CO6")*AW7:BR7)</f>
        <v>26</v>
      </c>
      <c r="BZ7" s="36">
        <f>SUM(BT7:BY7)</f>
        <v>198</v>
      </c>
      <c r="CB7" s="36">
        <v>100</v>
      </c>
      <c r="CC7" s="36">
        <v>100</v>
      </c>
      <c r="CD7" s="36">
        <v>100</v>
      </c>
      <c r="CE7" s="36">
        <v>100</v>
      </c>
      <c r="CF7" s="36">
        <v>100</v>
      </c>
      <c r="CG7" s="36">
        <v>100</v>
      </c>
    </row>
    <row r="8" spans="1:85" ht="15.5" x14ac:dyDescent="0.35">
      <c r="A8" s="43">
        <v>1</v>
      </c>
      <c r="B8" s="43" t="s">
        <v>54</v>
      </c>
      <c r="C8" s="43"/>
      <c r="D8" s="42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28">
        <f t="shared" ref="Y8:Y71" si="1">SUM(E8:P8)+(IF(Q8&lt;&gt;"",Q8,R8))+(IF(S8&lt;&gt;"",S8,T8))+(IF(U8&lt;&gt;"",U8,V8))+(IF(W8&lt;&gt;"",W8,X8))</f>
        <v>0</v>
      </c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31">
        <f t="shared" ref="AU8:AU71" si="2">SUM(AA8:AL8)+(IF(AM8&lt;&gt;"",AM8,AN8))+(IF(AO8&lt;&gt;"",AO8,AP8))+(IF(AQ8&lt;&gt;"",AQ8,AR8))+(IF(AS8&lt;&gt;"",AS8,AT8))</f>
        <v>0</v>
      </c>
      <c r="AW8" s="32">
        <f t="shared" ref="AW8:AW23" si="3">SUMPRODUCT(($E$5:$P$5="CO1")*(E8:P8))
+SUMPRODUCT(($AA$5:$AL$5="CO1")*(AA8:AL8))
+IF($Q$5="CO1",IF(Q8&lt;&gt;"",Q8,R8),0)
+IF($S$5="CO1",IF(S8&lt;&gt;"",S8,T8),0)
+IF($U$5="CO1",IF(U8&lt;&gt;"",U8,V8),0)
+IF($W$5="CO1",IF(W8&lt;&gt;"",W8,X8),0)
+IF($AM$5="CO1",IF(AM8&lt;&gt;"",AM8,AN8),0)
+IF($AO$5="CO1",IF(AO8&lt;&gt;"",AO8,AP8),0)
+IF($AQ$5="CO1",IF(AQ8&lt;&gt;"",AQ8,AR8),0)
+IF($AS$5="CO1",IF(AS8&lt;&gt;"",AS8,AT8),0)</f>
        <v>0</v>
      </c>
      <c r="AX8" s="32">
        <f t="shared" ref="AX8:AX25" si="4">SUMPRODUCT(($E$5:$P$5="CO2")*(E8:P8))
+SUMPRODUCT(($AA$5:$AL$5="CO2")*(AA8:AL8))
+IF($Q$5="CO2",IF(R8&lt;&gt;"",R8,S8),0)
+IF($S$5="CO2",IF(T8&lt;&gt;"",T8,U8),0)
+IF($U$5="CO2",IF(V8&lt;&gt;"",V8,W8),0)
+IF($W$5="CO2",IF(X8&lt;&gt;"",X8,Y8),0)
+IF($AM$5="CO2",IF(AN8&lt;&gt;"",AN8,AO8),0)
+IF($AO$5="CO2",IF(AP8&lt;&gt;"",AP8,AQ8),0)
+IF($AQ$5="CO2",IF(AR8&lt;&gt;"",AR8,AS8),0)
+IF($AS$5="CO2",IF(AT8&lt;&gt;"",AT8,AU8),0)</f>
        <v>0</v>
      </c>
      <c r="AY8" s="32">
        <f t="shared" ref="AY8:AY25" si="5">SUMPRODUCT(($E$5:$P$5="CO3")*(E8:P8))
+SUMPRODUCT(($AA$5:$AL$5="CO3")*(AA8:AL8))
+IF($Q$5="CO3",IF(Q8&lt;&gt;"",Q8,R8),0)
+IF($S$5="CO3",IF(S8&lt;&gt;"",S8,T8),0)
+IF($U$5="CO3",IF(U8&lt;&gt;"",U8,V8),0)
+IF($W$5="CO3",IF(W8&lt;&gt;"",W8,X8),0)
+IF($AM$5="CO3",IF(AM8&lt;&gt;"",AM8,AN8),0)
+IF($AO$5="CO3",IF(AO8&lt;&gt;"",AO8,AP8),0)
+IF($AQ$5="CO3",IF(AQ8&lt;&gt;"",AQ8,AR8),0)
+IF($AS$5="CO3",IF(AS8&lt;&gt;"",AS8,AT8),0)</f>
        <v>0</v>
      </c>
      <c r="AZ8" s="32">
        <f t="shared" ref="AZ8:AZ25" si="6">SUMPRODUCT(($E$5:$P$5="CO4")*(E8:P8))
+SUMPRODUCT(($AA$5:$AL$5="CO4")*(AA8:AL8))
+IF($Q$5="CO4",IF(Q8&lt;&gt;"",Q8,R8),0)
+IF($S$5="CO4",IF(S8&lt;&gt;"",S8,T8),0)
+IF($U$5="CO4",IF(U8&lt;&gt;"",U8,V8),0)
+IF($W$5="CO4",IF(W8&lt;&gt;"",W8,X8),0)
+IF($AM$5="CO4",IF(AM8&lt;&gt;"",AM8,AN8),0)
+IF($AO$5="CO4",IF(AO8&lt;&gt;"",AO8,AP8),0)
+IF($AQ$5="CO4",IF(AQ8&lt;&gt;"",AQ8,AR8),0)
+IF($AS$5="CO4",IF(AS8&lt;&gt;"",AS8,AT8),0)</f>
        <v>0</v>
      </c>
      <c r="BA8" s="32">
        <f t="shared" ref="BA8:BA29" si="7">SUMPRODUCT(($E$5:$P$5="CO5")*(E8:P8))
+SUMPRODUCT(($AA$5:$AL$5="CO5")*(AA8:AL8))
+IF($Q$5="CO5",IF(Q8&lt;&gt;"",Q8,R8),0)
+IF($S$5="CO5",IF(S8&lt;&gt;"",S8,T8),0)
+IF($U$5="CO5",IF(U8&lt;&gt;"",U8,V8),0)
+IF($W$5="CO5",IF(W8&lt;&gt;"",W8,X8),0)
+IF($AM$5="CO5",IF(AM8&lt;&gt;"",AM8,AN8),0)
+IF($AO$5="CO5",IF(AO8&lt;&gt;"",AO8,AP8),0)
+IF($AQ$5="CO5",IF(AQ8&lt;&gt;"",AQ8,AR8),0)
+IF($AS$5="CO5",IF(AS8&lt;&gt;"",AS8,AT8),0)</f>
        <v>0</v>
      </c>
      <c r="BB8" s="32">
        <f t="shared" ref="BB8:BB30" si="8">SUMPRODUCT(($E$5:$P$5="CO6")*(E8:P8))
+SUMPRODUCT(($AA$5:$AL$5="CO6")*(AA8:AL8))
+IF($Q$5="CO6",IF(Q8&lt;&gt;"",Q8,R8),0)
+IF($S$5="CO6",IF(S8&lt;&gt;"",S8,T8),0)
+IF($U$5="CO6",IF(U8&lt;&gt;"",U8,V8),0)
+IF($W$5="CO6",IF(W8&lt;&gt;"",W8,X8),0)
+IF($AM$5="CO6",IF(AM8&lt;&gt;"",AM8,AN8),0)
+IF($AO$5="CO6",IF(AO8&lt;&gt;"",AO8,AP8),0)
+IF($AQ$5="CO6",IF(AQ8&lt;&gt;"",AQ8,AR8),0)
+IF($AS$5="CO6",IF(AS8&lt;&gt;"",AS8,AT8),0)</f>
        <v>0</v>
      </c>
      <c r="BD8" s="30"/>
      <c r="BE8" s="30"/>
      <c r="BF8" s="30"/>
      <c r="BG8" s="5"/>
      <c r="BH8" s="5"/>
      <c r="BI8" s="5"/>
      <c r="BJ8" s="25">
        <f>SUM(BD8:BI8)</f>
        <v>0</v>
      </c>
      <c r="BL8" s="5"/>
      <c r="BM8" s="5"/>
      <c r="BN8" s="5"/>
      <c r="BO8" s="5"/>
      <c r="BP8" s="5"/>
      <c r="BQ8" s="5"/>
      <c r="BR8" s="33">
        <f t="shared" si="0"/>
        <v>0</v>
      </c>
      <c r="BT8" s="36">
        <f t="shared" ref="BT8:BT71" si="9">SUMPRODUCT(($AW$5:$BQ$5="CO1")*AW8:BQ8)</f>
        <v>0</v>
      </c>
      <c r="BU8" s="37">
        <f t="shared" ref="BU8:BU71" si="10">SUMPRODUCT(($AW$5:$BR$5="CO2")*AW8:BR8)</f>
        <v>0</v>
      </c>
      <c r="BV8" s="37">
        <f t="shared" ref="BV8:BV71" si="11">SUMPRODUCT(($AW$5:$BR$5="CO3")*AW8:BR8)</f>
        <v>0</v>
      </c>
      <c r="BW8" s="37">
        <f t="shared" ref="BW8:BW71" si="12">SUMPRODUCT(($AW$5:$BR$5="CO4")*AW8:BR8)</f>
        <v>0</v>
      </c>
      <c r="BX8" s="37">
        <f t="shared" ref="BX8:BX71" si="13">SUMPRODUCT(($AW$5:$BR$5="CO5")*AW8:BR8)</f>
        <v>0</v>
      </c>
      <c r="BY8" s="37">
        <f t="shared" ref="BY8:BY71" si="14">SUMPRODUCT(($AW$5:$BR$5="CO6")*AW8:BR8)</f>
        <v>0</v>
      </c>
      <c r="BZ8" s="33">
        <f t="shared" ref="BZ8:BZ71" si="15">SUM(BT8:BY8)</f>
        <v>0</v>
      </c>
      <c r="CB8" s="38">
        <f>BT8/$BT$7*100</f>
        <v>0</v>
      </c>
      <c r="CC8" s="38">
        <f>BU8/$BU$7*100</f>
        <v>0</v>
      </c>
      <c r="CD8" s="38">
        <f>BV8/$BV$7*100</f>
        <v>0</v>
      </c>
      <c r="CE8" s="38">
        <f>BW8/$BW$7*100</f>
        <v>0</v>
      </c>
      <c r="CF8" s="38">
        <f>BX8/$BX$7*100</f>
        <v>0</v>
      </c>
      <c r="CG8" s="38">
        <f>BY8/$BY$7*100</f>
        <v>0</v>
      </c>
    </row>
    <row r="9" spans="1:85" ht="15.5" x14ac:dyDescent="0.35">
      <c r="A9" s="43">
        <v>2</v>
      </c>
      <c r="B9" s="43"/>
      <c r="C9" s="43"/>
      <c r="D9" s="42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28">
        <f t="shared" si="1"/>
        <v>0</v>
      </c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31">
        <f t="shared" si="2"/>
        <v>0</v>
      </c>
      <c r="AW9" s="32">
        <f t="shared" si="3"/>
        <v>0</v>
      </c>
      <c r="AX9" s="32">
        <f t="shared" si="4"/>
        <v>0</v>
      </c>
      <c r="AY9" s="32">
        <f t="shared" si="5"/>
        <v>0</v>
      </c>
      <c r="AZ9" s="32">
        <f t="shared" si="6"/>
        <v>0</v>
      </c>
      <c r="BA9" s="32">
        <f t="shared" si="7"/>
        <v>0</v>
      </c>
      <c r="BB9" s="32">
        <f t="shared" si="8"/>
        <v>0</v>
      </c>
      <c r="BD9" s="30"/>
      <c r="BE9" s="30"/>
      <c r="BF9" s="30"/>
      <c r="BG9" s="5"/>
      <c r="BH9" s="5"/>
      <c r="BI9" s="5"/>
      <c r="BJ9" s="25">
        <f t="shared" ref="BJ9:BJ72" si="16">SUM(BD9:BI9)</f>
        <v>0</v>
      </c>
      <c r="BL9" s="5"/>
      <c r="BM9" s="5"/>
      <c r="BN9" s="5"/>
      <c r="BO9" s="5"/>
      <c r="BP9" s="5"/>
      <c r="BQ9" s="5"/>
      <c r="BR9" s="33">
        <f t="shared" si="0"/>
        <v>0</v>
      </c>
      <c r="BT9" s="36">
        <f t="shared" si="9"/>
        <v>0</v>
      </c>
      <c r="BU9" s="37">
        <f t="shared" si="10"/>
        <v>0</v>
      </c>
      <c r="BV9" s="37">
        <f t="shared" si="11"/>
        <v>0</v>
      </c>
      <c r="BW9" s="37">
        <f t="shared" si="12"/>
        <v>0</v>
      </c>
      <c r="BX9" s="37">
        <f t="shared" si="13"/>
        <v>0</v>
      </c>
      <c r="BY9" s="37">
        <f t="shared" si="14"/>
        <v>0</v>
      </c>
      <c r="BZ9" s="33">
        <f t="shared" si="15"/>
        <v>0</v>
      </c>
      <c r="CB9" s="38">
        <f t="shared" ref="CB9:CB72" si="17">BT9/$BT$7*100</f>
        <v>0</v>
      </c>
      <c r="CC9" s="38">
        <f t="shared" ref="CC9:CC72" si="18">BU9/$BU$7*100</f>
        <v>0</v>
      </c>
      <c r="CD9" s="38">
        <f t="shared" ref="CD9:CD72" si="19">BV9/$BV$7*100</f>
        <v>0</v>
      </c>
      <c r="CE9" s="38">
        <f t="shared" ref="CE9:CE72" si="20">BW9/$BW$7*100</f>
        <v>0</v>
      </c>
      <c r="CF9" s="38">
        <f t="shared" ref="CF9:CF72" si="21">BX9/$BX$7*100</f>
        <v>0</v>
      </c>
      <c r="CG9" s="38">
        <f t="shared" ref="CG9:CG72" si="22">BY9/$BY$7*100</f>
        <v>0</v>
      </c>
    </row>
    <row r="10" spans="1:85" ht="15.5" x14ac:dyDescent="0.35">
      <c r="A10" s="43">
        <v>3</v>
      </c>
      <c r="B10" s="43"/>
      <c r="C10" s="43"/>
      <c r="D10" s="42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28">
        <f t="shared" si="1"/>
        <v>0</v>
      </c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31">
        <f t="shared" si="2"/>
        <v>0</v>
      </c>
      <c r="AW10" s="32">
        <f t="shared" si="3"/>
        <v>0</v>
      </c>
      <c r="AX10" s="32">
        <f t="shared" si="4"/>
        <v>0</v>
      </c>
      <c r="AY10" s="32">
        <f t="shared" si="5"/>
        <v>0</v>
      </c>
      <c r="AZ10" s="32">
        <f t="shared" si="6"/>
        <v>0</v>
      </c>
      <c r="BA10" s="32">
        <f t="shared" si="7"/>
        <v>0</v>
      </c>
      <c r="BB10" s="32">
        <f t="shared" si="8"/>
        <v>0</v>
      </c>
      <c r="BD10" s="30"/>
      <c r="BE10" s="30"/>
      <c r="BF10" s="30"/>
      <c r="BG10" s="5"/>
      <c r="BH10" s="5"/>
      <c r="BI10" s="5"/>
      <c r="BJ10" s="25">
        <f t="shared" si="16"/>
        <v>0</v>
      </c>
      <c r="BL10" s="5"/>
      <c r="BM10" s="5"/>
      <c r="BN10" s="5"/>
      <c r="BO10" s="5"/>
      <c r="BP10" s="5"/>
      <c r="BQ10" s="5"/>
      <c r="BR10" s="33">
        <f t="shared" si="0"/>
        <v>0</v>
      </c>
      <c r="BT10" s="36">
        <f t="shared" si="9"/>
        <v>0</v>
      </c>
      <c r="BU10" s="37">
        <f t="shared" si="10"/>
        <v>0</v>
      </c>
      <c r="BV10" s="37">
        <f t="shared" si="11"/>
        <v>0</v>
      </c>
      <c r="BW10" s="37">
        <f t="shared" si="12"/>
        <v>0</v>
      </c>
      <c r="BX10" s="37">
        <f t="shared" si="13"/>
        <v>0</v>
      </c>
      <c r="BY10" s="37">
        <f t="shared" si="14"/>
        <v>0</v>
      </c>
      <c r="BZ10" s="33">
        <f t="shared" si="15"/>
        <v>0</v>
      </c>
      <c r="CB10" s="38">
        <f t="shared" si="17"/>
        <v>0</v>
      </c>
      <c r="CC10" s="38">
        <f t="shared" si="18"/>
        <v>0</v>
      </c>
      <c r="CD10" s="38">
        <f t="shared" si="19"/>
        <v>0</v>
      </c>
      <c r="CE10" s="38">
        <f t="shared" si="20"/>
        <v>0</v>
      </c>
      <c r="CF10" s="38">
        <f t="shared" si="21"/>
        <v>0</v>
      </c>
      <c r="CG10" s="38">
        <f t="shared" si="22"/>
        <v>0</v>
      </c>
    </row>
    <row r="11" spans="1:85" ht="15.5" x14ac:dyDescent="0.35">
      <c r="A11" s="43">
        <v>4</v>
      </c>
      <c r="B11" s="43"/>
      <c r="C11" s="43"/>
      <c r="D11" s="42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28">
        <f t="shared" si="1"/>
        <v>0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31">
        <f t="shared" si="2"/>
        <v>0</v>
      </c>
      <c r="AW11" s="32">
        <f t="shared" si="3"/>
        <v>0</v>
      </c>
      <c r="AX11" s="32">
        <f t="shared" si="4"/>
        <v>0</v>
      </c>
      <c r="AY11" s="32">
        <f t="shared" si="5"/>
        <v>0</v>
      </c>
      <c r="AZ11" s="32">
        <f t="shared" si="6"/>
        <v>0</v>
      </c>
      <c r="BA11" s="32">
        <f t="shared" si="7"/>
        <v>0</v>
      </c>
      <c r="BB11" s="32">
        <f t="shared" si="8"/>
        <v>0</v>
      </c>
      <c r="BD11" s="30"/>
      <c r="BE11" s="30"/>
      <c r="BF11" s="30"/>
      <c r="BG11" s="5"/>
      <c r="BH11" s="5"/>
      <c r="BI11" s="5"/>
      <c r="BJ11" s="25">
        <f t="shared" si="16"/>
        <v>0</v>
      </c>
      <c r="BL11" s="5"/>
      <c r="BM11" s="5"/>
      <c r="BN11" s="5"/>
      <c r="BO11" s="5"/>
      <c r="BP11" s="5"/>
      <c r="BQ11" s="5"/>
      <c r="BR11" s="33">
        <f t="shared" si="0"/>
        <v>0</v>
      </c>
      <c r="BT11" s="36">
        <f t="shared" si="9"/>
        <v>0</v>
      </c>
      <c r="BU11" s="37">
        <f t="shared" si="10"/>
        <v>0</v>
      </c>
      <c r="BV11" s="37">
        <f t="shared" si="11"/>
        <v>0</v>
      </c>
      <c r="BW11" s="37">
        <f t="shared" si="12"/>
        <v>0</v>
      </c>
      <c r="BX11" s="37">
        <f t="shared" si="13"/>
        <v>0</v>
      </c>
      <c r="BY11" s="37">
        <f t="shared" si="14"/>
        <v>0</v>
      </c>
      <c r="BZ11" s="33">
        <f t="shared" si="15"/>
        <v>0</v>
      </c>
      <c r="CB11" s="38">
        <f t="shared" si="17"/>
        <v>0</v>
      </c>
      <c r="CC11" s="38">
        <f t="shared" si="18"/>
        <v>0</v>
      </c>
      <c r="CD11" s="38">
        <f t="shared" si="19"/>
        <v>0</v>
      </c>
      <c r="CE11" s="38">
        <f t="shared" si="20"/>
        <v>0</v>
      </c>
      <c r="CF11" s="38">
        <f t="shared" si="21"/>
        <v>0</v>
      </c>
      <c r="CG11" s="38">
        <f t="shared" si="22"/>
        <v>0</v>
      </c>
    </row>
    <row r="12" spans="1:85" ht="15.5" x14ac:dyDescent="0.35">
      <c r="A12" s="43">
        <v>5</v>
      </c>
      <c r="B12" s="43"/>
      <c r="C12" s="43"/>
      <c r="D12" s="42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28">
        <f t="shared" si="1"/>
        <v>0</v>
      </c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31">
        <f t="shared" si="2"/>
        <v>0</v>
      </c>
      <c r="AW12" s="32">
        <f t="shared" si="3"/>
        <v>0</v>
      </c>
      <c r="AX12" s="32">
        <f t="shared" si="4"/>
        <v>0</v>
      </c>
      <c r="AY12" s="32">
        <f t="shared" si="5"/>
        <v>0</v>
      </c>
      <c r="AZ12" s="32">
        <f t="shared" si="6"/>
        <v>0</v>
      </c>
      <c r="BA12" s="32">
        <f t="shared" si="7"/>
        <v>0</v>
      </c>
      <c r="BB12" s="32">
        <f t="shared" si="8"/>
        <v>0</v>
      </c>
      <c r="BD12" s="30"/>
      <c r="BE12" s="30"/>
      <c r="BF12" s="30"/>
      <c r="BG12" s="5"/>
      <c r="BH12" s="5"/>
      <c r="BI12" s="5"/>
      <c r="BJ12" s="25">
        <f t="shared" si="16"/>
        <v>0</v>
      </c>
      <c r="BL12" s="5"/>
      <c r="BM12" s="5"/>
      <c r="BN12" s="5"/>
      <c r="BO12" s="5"/>
      <c r="BP12" s="5"/>
      <c r="BQ12" s="5"/>
      <c r="BR12" s="33">
        <f t="shared" si="0"/>
        <v>0</v>
      </c>
      <c r="BT12" s="36">
        <f t="shared" si="9"/>
        <v>0</v>
      </c>
      <c r="BU12" s="37">
        <f t="shared" si="10"/>
        <v>0</v>
      </c>
      <c r="BV12" s="37">
        <f t="shared" si="11"/>
        <v>0</v>
      </c>
      <c r="BW12" s="37">
        <f t="shared" si="12"/>
        <v>0</v>
      </c>
      <c r="BX12" s="37">
        <f t="shared" si="13"/>
        <v>0</v>
      </c>
      <c r="BY12" s="37">
        <f t="shared" si="14"/>
        <v>0</v>
      </c>
      <c r="BZ12" s="33">
        <f t="shared" si="15"/>
        <v>0</v>
      </c>
      <c r="CB12" s="38">
        <f t="shared" si="17"/>
        <v>0</v>
      </c>
      <c r="CC12" s="38">
        <f t="shared" si="18"/>
        <v>0</v>
      </c>
      <c r="CD12" s="38">
        <f t="shared" si="19"/>
        <v>0</v>
      </c>
      <c r="CE12" s="38">
        <f t="shared" si="20"/>
        <v>0</v>
      </c>
      <c r="CF12" s="38">
        <f t="shared" si="21"/>
        <v>0</v>
      </c>
      <c r="CG12" s="38">
        <f t="shared" si="22"/>
        <v>0</v>
      </c>
    </row>
    <row r="13" spans="1:85" ht="15.5" x14ac:dyDescent="0.35">
      <c r="A13" s="43">
        <v>6</v>
      </c>
      <c r="B13" s="43"/>
      <c r="C13" s="43"/>
      <c r="D13" s="42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28">
        <f t="shared" si="1"/>
        <v>0</v>
      </c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31">
        <f t="shared" si="2"/>
        <v>0</v>
      </c>
      <c r="AW13" s="32">
        <f t="shared" si="3"/>
        <v>0</v>
      </c>
      <c r="AX13" s="32">
        <f t="shared" si="4"/>
        <v>0</v>
      </c>
      <c r="AY13" s="32">
        <f t="shared" si="5"/>
        <v>0</v>
      </c>
      <c r="AZ13" s="32">
        <f t="shared" si="6"/>
        <v>0</v>
      </c>
      <c r="BA13" s="32">
        <f t="shared" si="7"/>
        <v>0</v>
      </c>
      <c r="BB13" s="32">
        <f t="shared" si="8"/>
        <v>0</v>
      </c>
      <c r="BD13" s="30"/>
      <c r="BE13" s="30"/>
      <c r="BF13" s="30"/>
      <c r="BG13" s="5"/>
      <c r="BH13" s="5"/>
      <c r="BI13" s="5"/>
      <c r="BJ13" s="25">
        <f t="shared" si="16"/>
        <v>0</v>
      </c>
      <c r="BL13" s="5"/>
      <c r="BM13" s="5"/>
      <c r="BN13" s="5"/>
      <c r="BO13" s="5"/>
      <c r="BP13" s="5"/>
      <c r="BQ13" s="5"/>
      <c r="BR13" s="33">
        <f t="shared" si="0"/>
        <v>0</v>
      </c>
      <c r="BT13" s="36">
        <f t="shared" si="9"/>
        <v>0</v>
      </c>
      <c r="BU13" s="37">
        <f t="shared" si="10"/>
        <v>0</v>
      </c>
      <c r="BV13" s="37">
        <f t="shared" si="11"/>
        <v>0</v>
      </c>
      <c r="BW13" s="37">
        <f t="shared" si="12"/>
        <v>0</v>
      </c>
      <c r="BX13" s="37">
        <f t="shared" si="13"/>
        <v>0</v>
      </c>
      <c r="BY13" s="37">
        <f t="shared" si="14"/>
        <v>0</v>
      </c>
      <c r="BZ13" s="33">
        <f t="shared" si="15"/>
        <v>0</v>
      </c>
      <c r="CB13" s="38">
        <f t="shared" si="17"/>
        <v>0</v>
      </c>
      <c r="CC13" s="38">
        <f t="shared" si="18"/>
        <v>0</v>
      </c>
      <c r="CD13" s="38">
        <f t="shared" si="19"/>
        <v>0</v>
      </c>
      <c r="CE13" s="38">
        <f t="shared" si="20"/>
        <v>0</v>
      </c>
      <c r="CF13" s="38">
        <f t="shared" si="21"/>
        <v>0</v>
      </c>
      <c r="CG13" s="38">
        <f t="shared" si="22"/>
        <v>0</v>
      </c>
    </row>
    <row r="14" spans="1:85" ht="15.5" x14ac:dyDescent="0.35">
      <c r="A14" s="43">
        <v>7</v>
      </c>
      <c r="B14" s="43"/>
      <c r="C14" s="43"/>
      <c r="D14" s="42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28">
        <f t="shared" si="1"/>
        <v>0</v>
      </c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31">
        <f t="shared" si="2"/>
        <v>0</v>
      </c>
      <c r="AW14" s="32">
        <f t="shared" si="3"/>
        <v>0</v>
      </c>
      <c r="AX14" s="32">
        <f t="shared" si="4"/>
        <v>0</v>
      </c>
      <c r="AY14" s="32">
        <f t="shared" si="5"/>
        <v>0</v>
      </c>
      <c r="AZ14" s="32">
        <f t="shared" si="6"/>
        <v>0</v>
      </c>
      <c r="BA14" s="32">
        <f t="shared" si="7"/>
        <v>0</v>
      </c>
      <c r="BB14" s="32">
        <f t="shared" si="8"/>
        <v>0</v>
      </c>
      <c r="BD14" s="30"/>
      <c r="BE14" s="30"/>
      <c r="BF14" s="30"/>
      <c r="BG14" s="5"/>
      <c r="BH14" s="5"/>
      <c r="BI14" s="5"/>
      <c r="BJ14" s="25">
        <f t="shared" si="16"/>
        <v>0</v>
      </c>
      <c r="BL14" s="5"/>
      <c r="BM14" s="5"/>
      <c r="BN14" s="5"/>
      <c r="BO14" s="5"/>
      <c r="BP14" s="5"/>
      <c r="BQ14" s="5"/>
      <c r="BR14" s="33">
        <f t="shared" si="0"/>
        <v>0</v>
      </c>
      <c r="BT14" s="36">
        <f t="shared" si="9"/>
        <v>0</v>
      </c>
      <c r="BU14" s="37">
        <f t="shared" si="10"/>
        <v>0</v>
      </c>
      <c r="BV14" s="37">
        <f t="shared" si="11"/>
        <v>0</v>
      </c>
      <c r="BW14" s="37">
        <f t="shared" si="12"/>
        <v>0</v>
      </c>
      <c r="BX14" s="37">
        <f t="shared" si="13"/>
        <v>0</v>
      </c>
      <c r="BY14" s="37">
        <f t="shared" si="14"/>
        <v>0</v>
      </c>
      <c r="BZ14" s="33">
        <f t="shared" si="15"/>
        <v>0</v>
      </c>
      <c r="CB14" s="38">
        <f t="shared" si="17"/>
        <v>0</v>
      </c>
      <c r="CC14" s="38">
        <f t="shared" si="18"/>
        <v>0</v>
      </c>
      <c r="CD14" s="38">
        <f t="shared" si="19"/>
        <v>0</v>
      </c>
      <c r="CE14" s="38">
        <f t="shared" si="20"/>
        <v>0</v>
      </c>
      <c r="CF14" s="38">
        <f t="shared" si="21"/>
        <v>0</v>
      </c>
      <c r="CG14" s="38">
        <f t="shared" si="22"/>
        <v>0</v>
      </c>
    </row>
    <row r="15" spans="1:85" ht="15.5" x14ac:dyDescent="0.35">
      <c r="A15" s="43">
        <v>8</v>
      </c>
      <c r="B15" s="43"/>
      <c r="C15" s="43"/>
      <c r="D15" s="42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28">
        <f t="shared" si="1"/>
        <v>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31">
        <f t="shared" si="2"/>
        <v>0</v>
      </c>
      <c r="AW15" s="32">
        <f t="shared" si="3"/>
        <v>0</v>
      </c>
      <c r="AX15" s="32">
        <f t="shared" si="4"/>
        <v>0</v>
      </c>
      <c r="AY15" s="32">
        <f t="shared" si="5"/>
        <v>0</v>
      </c>
      <c r="AZ15" s="32">
        <f t="shared" si="6"/>
        <v>0</v>
      </c>
      <c r="BA15" s="32">
        <f t="shared" si="7"/>
        <v>0</v>
      </c>
      <c r="BB15" s="32">
        <f t="shared" si="8"/>
        <v>0</v>
      </c>
      <c r="BD15" s="30"/>
      <c r="BE15" s="30"/>
      <c r="BF15" s="30"/>
      <c r="BG15" s="5"/>
      <c r="BH15" s="5"/>
      <c r="BI15" s="5"/>
      <c r="BJ15" s="25">
        <f t="shared" si="16"/>
        <v>0</v>
      </c>
      <c r="BL15" s="5"/>
      <c r="BM15" s="5"/>
      <c r="BN15" s="5"/>
      <c r="BO15" s="5"/>
      <c r="BP15" s="5"/>
      <c r="BQ15" s="5"/>
      <c r="BR15" s="33">
        <f t="shared" si="0"/>
        <v>0</v>
      </c>
      <c r="BT15" s="36">
        <f t="shared" si="9"/>
        <v>0</v>
      </c>
      <c r="BU15" s="37">
        <f t="shared" si="10"/>
        <v>0</v>
      </c>
      <c r="BV15" s="37">
        <f t="shared" si="11"/>
        <v>0</v>
      </c>
      <c r="BW15" s="37">
        <f t="shared" si="12"/>
        <v>0</v>
      </c>
      <c r="BX15" s="37">
        <f t="shared" si="13"/>
        <v>0</v>
      </c>
      <c r="BY15" s="37">
        <f t="shared" si="14"/>
        <v>0</v>
      </c>
      <c r="BZ15" s="33">
        <f t="shared" si="15"/>
        <v>0</v>
      </c>
      <c r="CB15" s="38">
        <f t="shared" si="17"/>
        <v>0</v>
      </c>
      <c r="CC15" s="38">
        <f t="shared" si="18"/>
        <v>0</v>
      </c>
      <c r="CD15" s="38">
        <f t="shared" si="19"/>
        <v>0</v>
      </c>
      <c r="CE15" s="38">
        <f t="shared" si="20"/>
        <v>0</v>
      </c>
      <c r="CF15" s="38">
        <f t="shared" si="21"/>
        <v>0</v>
      </c>
      <c r="CG15" s="38">
        <f t="shared" si="22"/>
        <v>0</v>
      </c>
    </row>
    <row r="16" spans="1:85" ht="15.5" x14ac:dyDescent="0.35">
      <c r="A16" s="43">
        <v>9</v>
      </c>
      <c r="B16" s="43"/>
      <c r="C16" s="43"/>
      <c r="D16" s="42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28">
        <f t="shared" si="1"/>
        <v>0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31">
        <f t="shared" si="2"/>
        <v>0</v>
      </c>
      <c r="AW16" s="32">
        <f t="shared" si="3"/>
        <v>0</v>
      </c>
      <c r="AX16" s="32">
        <f t="shared" si="4"/>
        <v>0</v>
      </c>
      <c r="AY16" s="32">
        <f t="shared" si="5"/>
        <v>0</v>
      </c>
      <c r="AZ16" s="32">
        <f t="shared" si="6"/>
        <v>0</v>
      </c>
      <c r="BA16" s="32">
        <f t="shared" si="7"/>
        <v>0</v>
      </c>
      <c r="BB16" s="32">
        <f t="shared" si="8"/>
        <v>0</v>
      </c>
      <c r="BD16" s="30"/>
      <c r="BE16" s="30"/>
      <c r="BF16" s="30"/>
      <c r="BG16" s="5"/>
      <c r="BH16" s="5"/>
      <c r="BI16" s="5"/>
      <c r="BJ16" s="25">
        <f t="shared" si="16"/>
        <v>0</v>
      </c>
      <c r="BL16" s="5"/>
      <c r="BM16" s="5"/>
      <c r="BN16" s="5"/>
      <c r="BO16" s="5"/>
      <c r="BP16" s="5"/>
      <c r="BQ16" s="5"/>
      <c r="BR16" s="33">
        <f t="shared" si="0"/>
        <v>0</v>
      </c>
      <c r="BT16" s="36">
        <f t="shared" si="9"/>
        <v>0</v>
      </c>
      <c r="BU16" s="37">
        <f t="shared" si="10"/>
        <v>0</v>
      </c>
      <c r="BV16" s="37">
        <f t="shared" si="11"/>
        <v>0</v>
      </c>
      <c r="BW16" s="37">
        <f t="shared" si="12"/>
        <v>0</v>
      </c>
      <c r="BX16" s="37">
        <f t="shared" si="13"/>
        <v>0</v>
      </c>
      <c r="BY16" s="37">
        <f t="shared" si="14"/>
        <v>0</v>
      </c>
      <c r="BZ16" s="33">
        <f t="shared" si="15"/>
        <v>0</v>
      </c>
      <c r="CB16" s="38">
        <f t="shared" si="17"/>
        <v>0</v>
      </c>
      <c r="CC16" s="38">
        <f t="shared" si="18"/>
        <v>0</v>
      </c>
      <c r="CD16" s="38">
        <f t="shared" si="19"/>
        <v>0</v>
      </c>
      <c r="CE16" s="38">
        <f t="shared" si="20"/>
        <v>0</v>
      </c>
      <c r="CF16" s="38">
        <f t="shared" si="21"/>
        <v>0</v>
      </c>
      <c r="CG16" s="38">
        <f t="shared" si="22"/>
        <v>0</v>
      </c>
    </row>
    <row r="17" spans="1:85" ht="15.5" x14ac:dyDescent="0.35">
      <c r="A17" s="43">
        <v>10</v>
      </c>
      <c r="B17" s="43"/>
      <c r="C17" s="43"/>
      <c r="D17" s="42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28">
        <f t="shared" si="1"/>
        <v>0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31">
        <f t="shared" si="2"/>
        <v>0</v>
      </c>
      <c r="AW17" s="32">
        <f t="shared" si="3"/>
        <v>0</v>
      </c>
      <c r="AX17" s="32">
        <f t="shared" si="4"/>
        <v>0</v>
      </c>
      <c r="AY17" s="32">
        <f t="shared" si="5"/>
        <v>0</v>
      </c>
      <c r="AZ17" s="32">
        <f t="shared" si="6"/>
        <v>0</v>
      </c>
      <c r="BA17" s="32">
        <f t="shared" si="7"/>
        <v>0</v>
      </c>
      <c r="BB17" s="32">
        <f t="shared" si="8"/>
        <v>0</v>
      </c>
      <c r="BD17" s="30"/>
      <c r="BE17" s="30"/>
      <c r="BF17" s="30"/>
      <c r="BG17" s="5"/>
      <c r="BH17" s="5"/>
      <c r="BI17" s="5"/>
      <c r="BJ17" s="25">
        <f t="shared" si="16"/>
        <v>0</v>
      </c>
      <c r="BL17" s="5"/>
      <c r="BM17" s="5"/>
      <c r="BN17" s="5"/>
      <c r="BO17" s="5"/>
      <c r="BP17" s="5"/>
      <c r="BQ17" s="5"/>
      <c r="BR17" s="33">
        <f t="shared" si="0"/>
        <v>0</v>
      </c>
      <c r="BT17" s="36">
        <f t="shared" si="9"/>
        <v>0</v>
      </c>
      <c r="BU17" s="37">
        <f t="shared" si="10"/>
        <v>0</v>
      </c>
      <c r="BV17" s="37">
        <f t="shared" si="11"/>
        <v>0</v>
      </c>
      <c r="BW17" s="37">
        <f t="shared" si="12"/>
        <v>0</v>
      </c>
      <c r="BX17" s="37">
        <f t="shared" si="13"/>
        <v>0</v>
      </c>
      <c r="BY17" s="37">
        <f t="shared" si="14"/>
        <v>0</v>
      </c>
      <c r="BZ17" s="33">
        <f t="shared" si="15"/>
        <v>0</v>
      </c>
      <c r="CB17" s="38">
        <f t="shared" si="17"/>
        <v>0</v>
      </c>
      <c r="CC17" s="38">
        <f t="shared" si="18"/>
        <v>0</v>
      </c>
      <c r="CD17" s="38">
        <f t="shared" si="19"/>
        <v>0</v>
      </c>
      <c r="CE17" s="38">
        <f t="shared" si="20"/>
        <v>0</v>
      </c>
      <c r="CF17" s="38">
        <f t="shared" si="21"/>
        <v>0</v>
      </c>
      <c r="CG17" s="38">
        <f t="shared" si="22"/>
        <v>0</v>
      </c>
    </row>
    <row r="18" spans="1:85" ht="15.5" x14ac:dyDescent="0.35">
      <c r="A18" s="43">
        <v>11</v>
      </c>
      <c r="B18" s="43"/>
      <c r="C18" s="43"/>
      <c r="D18" s="42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28">
        <f t="shared" si="1"/>
        <v>0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31">
        <f t="shared" si="2"/>
        <v>0</v>
      </c>
      <c r="AW18" s="32">
        <f t="shared" si="3"/>
        <v>0</v>
      </c>
      <c r="AX18" s="32">
        <f t="shared" si="4"/>
        <v>0</v>
      </c>
      <c r="AY18" s="32">
        <f t="shared" si="5"/>
        <v>0</v>
      </c>
      <c r="AZ18" s="32">
        <f t="shared" si="6"/>
        <v>0</v>
      </c>
      <c r="BA18" s="32">
        <f t="shared" si="7"/>
        <v>0</v>
      </c>
      <c r="BB18" s="32">
        <f t="shared" si="8"/>
        <v>0</v>
      </c>
      <c r="BD18" s="30"/>
      <c r="BE18" s="30"/>
      <c r="BF18" s="30"/>
      <c r="BG18" s="5"/>
      <c r="BH18" s="5"/>
      <c r="BI18" s="5"/>
      <c r="BJ18" s="25">
        <f t="shared" si="16"/>
        <v>0</v>
      </c>
      <c r="BL18" s="5"/>
      <c r="BM18" s="5"/>
      <c r="BN18" s="5"/>
      <c r="BO18" s="5"/>
      <c r="BP18" s="5"/>
      <c r="BQ18" s="5"/>
      <c r="BR18" s="33">
        <f t="shared" si="0"/>
        <v>0</v>
      </c>
      <c r="BT18" s="36">
        <f t="shared" si="9"/>
        <v>0</v>
      </c>
      <c r="BU18" s="37">
        <f t="shared" si="10"/>
        <v>0</v>
      </c>
      <c r="BV18" s="37">
        <f t="shared" si="11"/>
        <v>0</v>
      </c>
      <c r="BW18" s="37">
        <f t="shared" si="12"/>
        <v>0</v>
      </c>
      <c r="BX18" s="37">
        <f t="shared" si="13"/>
        <v>0</v>
      </c>
      <c r="BY18" s="37">
        <f t="shared" si="14"/>
        <v>0</v>
      </c>
      <c r="BZ18" s="33">
        <f t="shared" si="15"/>
        <v>0</v>
      </c>
      <c r="CB18" s="38">
        <f t="shared" si="17"/>
        <v>0</v>
      </c>
      <c r="CC18" s="38">
        <f t="shared" si="18"/>
        <v>0</v>
      </c>
      <c r="CD18" s="38">
        <f t="shared" si="19"/>
        <v>0</v>
      </c>
      <c r="CE18" s="38">
        <f t="shared" si="20"/>
        <v>0</v>
      </c>
      <c r="CF18" s="38">
        <f t="shared" si="21"/>
        <v>0</v>
      </c>
      <c r="CG18" s="38">
        <f t="shared" si="22"/>
        <v>0</v>
      </c>
    </row>
    <row r="19" spans="1:85" ht="15.5" x14ac:dyDescent="0.35">
      <c r="A19" s="43">
        <v>12</v>
      </c>
      <c r="B19" s="43"/>
      <c r="C19" s="43"/>
      <c r="D19" s="42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28">
        <f t="shared" si="1"/>
        <v>0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31">
        <f t="shared" si="2"/>
        <v>0</v>
      </c>
      <c r="AW19" s="32">
        <f t="shared" si="3"/>
        <v>0</v>
      </c>
      <c r="AX19" s="32">
        <f t="shared" si="4"/>
        <v>0</v>
      </c>
      <c r="AY19" s="32">
        <f t="shared" si="5"/>
        <v>0</v>
      </c>
      <c r="AZ19" s="32">
        <f t="shared" si="6"/>
        <v>0</v>
      </c>
      <c r="BA19" s="32">
        <f t="shared" si="7"/>
        <v>0</v>
      </c>
      <c r="BB19" s="32">
        <f t="shared" si="8"/>
        <v>0</v>
      </c>
      <c r="BD19" s="30"/>
      <c r="BE19" s="30"/>
      <c r="BF19" s="30"/>
      <c r="BG19" s="5"/>
      <c r="BH19" s="5"/>
      <c r="BI19" s="5"/>
      <c r="BJ19" s="25">
        <f t="shared" si="16"/>
        <v>0</v>
      </c>
      <c r="BL19" s="5"/>
      <c r="BM19" s="5"/>
      <c r="BN19" s="5"/>
      <c r="BO19" s="5"/>
      <c r="BP19" s="5"/>
      <c r="BQ19" s="5"/>
      <c r="BR19" s="33">
        <f t="shared" si="0"/>
        <v>0</v>
      </c>
      <c r="BT19" s="36">
        <f t="shared" si="9"/>
        <v>0</v>
      </c>
      <c r="BU19" s="37">
        <f t="shared" si="10"/>
        <v>0</v>
      </c>
      <c r="BV19" s="37">
        <f t="shared" si="11"/>
        <v>0</v>
      </c>
      <c r="BW19" s="37">
        <f t="shared" si="12"/>
        <v>0</v>
      </c>
      <c r="BX19" s="37">
        <f t="shared" si="13"/>
        <v>0</v>
      </c>
      <c r="BY19" s="37">
        <f t="shared" si="14"/>
        <v>0</v>
      </c>
      <c r="BZ19" s="33">
        <f t="shared" si="15"/>
        <v>0</v>
      </c>
      <c r="CB19" s="38">
        <f t="shared" si="17"/>
        <v>0</v>
      </c>
      <c r="CC19" s="38">
        <f t="shared" si="18"/>
        <v>0</v>
      </c>
      <c r="CD19" s="38">
        <f t="shared" si="19"/>
        <v>0</v>
      </c>
      <c r="CE19" s="38">
        <f t="shared" si="20"/>
        <v>0</v>
      </c>
      <c r="CF19" s="38">
        <f t="shared" si="21"/>
        <v>0</v>
      </c>
      <c r="CG19" s="38">
        <f t="shared" si="22"/>
        <v>0</v>
      </c>
    </row>
    <row r="20" spans="1:85" ht="15.5" x14ac:dyDescent="0.35">
      <c r="A20" s="43">
        <v>13</v>
      </c>
      <c r="B20" s="43"/>
      <c r="C20" s="43"/>
      <c r="D20" s="42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28">
        <f t="shared" si="1"/>
        <v>0</v>
      </c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31">
        <f t="shared" si="2"/>
        <v>0</v>
      </c>
      <c r="AW20" s="32">
        <f t="shared" si="3"/>
        <v>0</v>
      </c>
      <c r="AX20" s="32">
        <f t="shared" si="4"/>
        <v>0</v>
      </c>
      <c r="AY20" s="32">
        <f t="shared" si="5"/>
        <v>0</v>
      </c>
      <c r="AZ20" s="32">
        <f t="shared" si="6"/>
        <v>0</v>
      </c>
      <c r="BA20" s="32">
        <f t="shared" si="7"/>
        <v>0</v>
      </c>
      <c r="BB20" s="32">
        <f t="shared" si="8"/>
        <v>0</v>
      </c>
      <c r="BD20" s="30"/>
      <c r="BE20" s="30"/>
      <c r="BF20" s="30"/>
      <c r="BG20" s="5"/>
      <c r="BH20" s="5"/>
      <c r="BI20" s="5"/>
      <c r="BJ20" s="25">
        <f t="shared" si="16"/>
        <v>0</v>
      </c>
      <c r="BL20" s="5"/>
      <c r="BM20" s="5"/>
      <c r="BN20" s="5"/>
      <c r="BO20" s="5"/>
      <c r="BP20" s="5"/>
      <c r="BQ20" s="5"/>
      <c r="BR20" s="33">
        <f t="shared" si="0"/>
        <v>0</v>
      </c>
      <c r="BT20" s="36">
        <f t="shared" si="9"/>
        <v>0</v>
      </c>
      <c r="BU20" s="37">
        <f t="shared" si="10"/>
        <v>0</v>
      </c>
      <c r="BV20" s="37">
        <f t="shared" si="11"/>
        <v>0</v>
      </c>
      <c r="BW20" s="37">
        <f t="shared" si="12"/>
        <v>0</v>
      </c>
      <c r="BX20" s="37">
        <f t="shared" si="13"/>
        <v>0</v>
      </c>
      <c r="BY20" s="37">
        <f t="shared" si="14"/>
        <v>0</v>
      </c>
      <c r="BZ20" s="33">
        <f t="shared" si="15"/>
        <v>0</v>
      </c>
      <c r="CB20" s="38">
        <f t="shared" si="17"/>
        <v>0</v>
      </c>
      <c r="CC20" s="38">
        <f t="shared" si="18"/>
        <v>0</v>
      </c>
      <c r="CD20" s="38">
        <f t="shared" si="19"/>
        <v>0</v>
      </c>
      <c r="CE20" s="38">
        <f t="shared" si="20"/>
        <v>0</v>
      </c>
      <c r="CF20" s="38">
        <f t="shared" si="21"/>
        <v>0</v>
      </c>
      <c r="CG20" s="38">
        <f t="shared" si="22"/>
        <v>0</v>
      </c>
    </row>
    <row r="21" spans="1:85" ht="15.5" x14ac:dyDescent="0.35">
      <c r="A21" s="43">
        <v>14</v>
      </c>
      <c r="B21" s="43"/>
      <c r="C21" s="43"/>
      <c r="D21" s="42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28">
        <f t="shared" si="1"/>
        <v>0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31">
        <f t="shared" si="2"/>
        <v>0</v>
      </c>
      <c r="AW21" s="32">
        <f t="shared" si="3"/>
        <v>0</v>
      </c>
      <c r="AX21" s="32">
        <f t="shared" si="4"/>
        <v>0</v>
      </c>
      <c r="AY21" s="32">
        <f t="shared" si="5"/>
        <v>0</v>
      </c>
      <c r="AZ21" s="32">
        <f t="shared" si="6"/>
        <v>0</v>
      </c>
      <c r="BA21" s="32">
        <f t="shared" si="7"/>
        <v>0</v>
      </c>
      <c r="BB21" s="32">
        <f t="shared" si="8"/>
        <v>0</v>
      </c>
      <c r="BD21" s="30"/>
      <c r="BE21" s="30"/>
      <c r="BF21" s="30"/>
      <c r="BG21" s="5"/>
      <c r="BH21" s="5"/>
      <c r="BI21" s="5"/>
      <c r="BJ21" s="25">
        <f t="shared" si="16"/>
        <v>0</v>
      </c>
      <c r="BL21" s="5"/>
      <c r="BM21" s="5"/>
      <c r="BN21" s="5"/>
      <c r="BO21" s="5"/>
      <c r="BP21" s="5"/>
      <c r="BQ21" s="5"/>
      <c r="BR21" s="33">
        <f t="shared" si="0"/>
        <v>0</v>
      </c>
      <c r="BT21" s="36">
        <f t="shared" si="9"/>
        <v>0</v>
      </c>
      <c r="BU21" s="37">
        <f t="shared" si="10"/>
        <v>0</v>
      </c>
      <c r="BV21" s="37">
        <f t="shared" si="11"/>
        <v>0</v>
      </c>
      <c r="BW21" s="37">
        <f t="shared" si="12"/>
        <v>0</v>
      </c>
      <c r="BX21" s="37">
        <f t="shared" si="13"/>
        <v>0</v>
      </c>
      <c r="BY21" s="37">
        <f t="shared" si="14"/>
        <v>0</v>
      </c>
      <c r="BZ21" s="33">
        <f t="shared" si="15"/>
        <v>0</v>
      </c>
      <c r="CB21" s="38">
        <f t="shared" si="17"/>
        <v>0</v>
      </c>
      <c r="CC21" s="38">
        <f t="shared" si="18"/>
        <v>0</v>
      </c>
      <c r="CD21" s="38">
        <f t="shared" si="19"/>
        <v>0</v>
      </c>
      <c r="CE21" s="38">
        <f t="shared" si="20"/>
        <v>0</v>
      </c>
      <c r="CF21" s="38">
        <f t="shared" si="21"/>
        <v>0</v>
      </c>
      <c r="CG21" s="38">
        <f t="shared" si="22"/>
        <v>0</v>
      </c>
    </row>
    <row r="22" spans="1:85" ht="15.5" x14ac:dyDescent="0.35">
      <c r="A22" s="43">
        <v>15</v>
      </c>
      <c r="B22" s="43"/>
      <c r="C22" s="43"/>
      <c r="D22" s="42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28">
        <f t="shared" si="1"/>
        <v>0</v>
      </c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31">
        <f t="shared" si="2"/>
        <v>0</v>
      </c>
      <c r="AW22" s="32">
        <f t="shared" si="3"/>
        <v>0</v>
      </c>
      <c r="AX22" s="32">
        <f t="shared" si="4"/>
        <v>0</v>
      </c>
      <c r="AY22" s="32">
        <f t="shared" si="5"/>
        <v>0</v>
      </c>
      <c r="AZ22" s="32">
        <f t="shared" si="6"/>
        <v>0</v>
      </c>
      <c r="BA22" s="32">
        <f t="shared" si="7"/>
        <v>0</v>
      </c>
      <c r="BB22" s="32">
        <f t="shared" si="8"/>
        <v>0</v>
      </c>
      <c r="BD22" s="30"/>
      <c r="BE22" s="30"/>
      <c r="BF22" s="30"/>
      <c r="BG22" s="5"/>
      <c r="BH22" s="5"/>
      <c r="BI22" s="5"/>
      <c r="BJ22" s="25">
        <f t="shared" si="16"/>
        <v>0</v>
      </c>
      <c r="BL22" s="5"/>
      <c r="BM22" s="5"/>
      <c r="BN22" s="5"/>
      <c r="BO22" s="5"/>
      <c r="BP22" s="5"/>
      <c r="BQ22" s="5"/>
      <c r="BR22" s="33">
        <f t="shared" si="0"/>
        <v>0</v>
      </c>
      <c r="BT22" s="36">
        <f t="shared" si="9"/>
        <v>0</v>
      </c>
      <c r="BU22" s="37">
        <f t="shared" si="10"/>
        <v>0</v>
      </c>
      <c r="BV22" s="37">
        <f t="shared" si="11"/>
        <v>0</v>
      </c>
      <c r="BW22" s="37">
        <f t="shared" si="12"/>
        <v>0</v>
      </c>
      <c r="BX22" s="37">
        <f t="shared" si="13"/>
        <v>0</v>
      </c>
      <c r="BY22" s="37">
        <f t="shared" si="14"/>
        <v>0</v>
      </c>
      <c r="BZ22" s="33">
        <f t="shared" si="15"/>
        <v>0</v>
      </c>
      <c r="CB22" s="38">
        <f t="shared" si="17"/>
        <v>0</v>
      </c>
      <c r="CC22" s="38">
        <f t="shared" si="18"/>
        <v>0</v>
      </c>
      <c r="CD22" s="38">
        <f t="shared" si="19"/>
        <v>0</v>
      </c>
      <c r="CE22" s="38">
        <f t="shared" si="20"/>
        <v>0</v>
      </c>
      <c r="CF22" s="38">
        <f t="shared" si="21"/>
        <v>0</v>
      </c>
      <c r="CG22" s="38">
        <f t="shared" si="22"/>
        <v>0</v>
      </c>
    </row>
    <row r="23" spans="1:85" ht="15.5" x14ac:dyDescent="0.35">
      <c r="A23" s="43">
        <v>16</v>
      </c>
      <c r="B23" s="43"/>
      <c r="C23" s="43"/>
      <c r="D23" s="42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28">
        <f t="shared" si="1"/>
        <v>0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31">
        <f t="shared" si="2"/>
        <v>0</v>
      </c>
      <c r="AW23" s="32">
        <f t="shared" si="3"/>
        <v>0</v>
      </c>
      <c r="AX23" s="32">
        <f t="shared" si="4"/>
        <v>0</v>
      </c>
      <c r="AY23" s="32">
        <f t="shared" si="5"/>
        <v>0</v>
      </c>
      <c r="AZ23" s="32">
        <f t="shared" si="6"/>
        <v>0</v>
      </c>
      <c r="BA23" s="32">
        <f t="shared" si="7"/>
        <v>0</v>
      </c>
      <c r="BB23" s="32">
        <f t="shared" si="8"/>
        <v>0</v>
      </c>
      <c r="BD23" s="30"/>
      <c r="BE23" s="30"/>
      <c r="BF23" s="30"/>
      <c r="BG23" s="5"/>
      <c r="BH23" s="5"/>
      <c r="BI23" s="5"/>
      <c r="BJ23" s="25">
        <f t="shared" si="16"/>
        <v>0</v>
      </c>
      <c r="BL23" s="5"/>
      <c r="BM23" s="5"/>
      <c r="BN23" s="5"/>
      <c r="BO23" s="5"/>
      <c r="BP23" s="5"/>
      <c r="BQ23" s="5"/>
      <c r="BR23" s="33">
        <f t="shared" si="0"/>
        <v>0</v>
      </c>
      <c r="BT23" s="36">
        <f t="shared" si="9"/>
        <v>0</v>
      </c>
      <c r="BU23" s="37">
        <f t="shared" si="10"/>
        <v>0</v>
      </c>
      <c r="BV23" s="37">
        <f t="shared" si="11"/>
        <v>0</v>
      </c>
      <c r="BW23" s="37">
        <f t="shared" si="12"/>
        <v>0</v>
      </c>
      <c r="BX23" s="37">
        <f t="shared" si="13"/>
        <v>0</v>
      </c>
      <c r="BY23" s="37">
        <f t="shared" si="14"/>
        <v>0</v>
      </c>
      <c r="BZ23" s="33">
        <f t="shared" si="15"/>
        <v>0</v>
      </c>
      <c r="CB23" s="38">
        <f t="shared" si="17"/>
        <v>0</v>
      </c>
      <c r="CC23" s="38">
        <f t="shared" si="18"/>
        <v>0</v>
      </c>
      <c r="CD23" s="38">
        <f t="shared" si="19"/>
        <v>0</v>
      </c>
      <c r="CE23" s="38">
        <f t="shared" si="20"/>
        <v>0</v>
      </c>
      <c r="CF23" s="38">
        <f t="shared" si="21"/>
        <v>0</v>
      </c>
      <c r="CG23" s="38">
        <f t="shared" si="22"/>
        <v>0</v>
      </c>
    </row>
    <row r="24" spans="1:85" ht="15.5" x14ac:dyDescent="0.35">
      <c r="A24" s="43">
        <v>17</v>
      </c>
      <c r="B24" s="43"/>
      <c r="C24" s="43"/>
      <c r="D24" s="42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28">
        <f t="shared" si="1"/>
        <v>0</v>
      </c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31">
        <f t="shared" si="2"/>
        <v>0</v>
      </c>
      <c r="AW24" s="29">
        <f t="shared" ref="AW24:AW71" si="23">SUMPRODUCT(($E$5:$P$5="CO1")*(E24:P24))
+SUMPRODUCT(($AA$5:$AL$5="CO1")*(AA24:AL24))
+IF($Q$5="CO1",IF(Q24&lt;&gt;"",Q24,R24),0)
+IF($S$5="CO1",IF(S24&lt;&gt;"",S24,T24),0)
+IF($U$5="CO1",IF(U24&lt;&gt;"",U24,V24),0)
+IF($W$5="CO1",IF(W24&lt;&gt;"",W24,X24),0)
+IF($AM$5="CO1",IF(AM24&lt;&gt;"",AM24,AN24),0)
+IF($AO$5="CO1",IF(AO24&lt;&gt;"",AO24,AP24),0)
+IF($AQ$5="CO1",IF(AQ24&lt;&gt;"",AQ24,AR24),0)
+IF($AS$5="CO1",IF(AS24&lt;&gt;"",AS24,AT24),0)</f>
        <v>0</v>
      </c>
      <c r="AX24" s="32">
        <f t="shared" si="4"/>
        <v>0</v>
      </c>
      <c r="AY24" s="32">
        <f t="shared" si="5"/>
        <v>0</v>
      </c>
      <c r="AZ24" s="32">
        <f t="shared" si="6"/>
        <v>0</v>
      </c>
      <c r="BA24" s="32">
        <f t="shared" si="7"/>
        <v>0</v>
      </c>
      <c r="BB24" s="32">
        <f t="shared" si="8"/>
        <v>0</v>
      </c>
      <c r="BD24" s="30"/>
      <c r="BE24" s="30"/>
      <c r="BF24" s="30"/>
      <c r="BG24" s="5"/>
      <c r="BH24" s="5"/>
      <c r="BI24" s="5"/>
      <c r="BJ24" s="25">
        <f t="shared" si="16"/>
        <v>0</v>
      </c>
      <c r="BL24" s="5"/>
      <c r="BM24" s="5"/>
      <c r="BN24" s="5"/>
      <c r="BO24" s="5"/>
      <c r="BP24" s="5"/>
      <c r="BQ24" s="5"/>
      <c r="BR24" s="33">
        <f t="shared" si="0"/>
        <v>0</v>
      </c>
      <c r="BT24" s="36">
        <f t="shared" si="9"/>
        <v>0</v>
      </c>
      <c r="BU24" s="37">
        <f t="shared" si="10"/>
        <v>0</v>
      </c>
      <c r="BV24" s="37">
        <f t="shared" si="11"/>
        <v>0</v>
      </c>
      <c r="BW24" s="37">
        <f t="shared" si="12"/>
        <v>0</v>
      </c>
      <c r="BX24" s="37">
        <f t="shared" si="13"/>
        <v>0</v>
      </c>
      <c r="BY24" s="37">
        <f t="shared" si="14"/>
        <v>0</v>
      </c>
      <c r="BZ24" s="33">
        <f t="shared" si="15"/>
        <v>0</v>
      </c>
      <c r="CB24" s="38">
        <f t="shared" si="17"/>
        <v>0</v>
      </c>
      <c r="CC24" s="38">
        <f t="shared" si="18"/>
        <v>0</v>
      </c>
      <c r="CD24" s="38">
        <f t="shared" si="19"/>
        <v>0</v>
      </c>
      <c r="CE24" s="38">
        <f t="shared" si="20"/>
        <v>0</v>
      </c>
      <c r="CF24" s="38">
        <f t="shared" si="21"/>
        <v>0</v>
      </c>
      <c r="CG24" s="38">
        <f t="shared" si="22"/>
        <v>0</v>
      </c>
    </row>
    <row r="25" spans="1:85" ht="15.5" x14ac:dyDescent="0.35">
      <c r="A25" s="43">
        <v>18</v>
      </c>
      <c r="B25" s="43"/>
      <c r="C25" s="43"/>
      <c r="D25" s="42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28">
        <f t="shared" si="1"/>
        <v>0</v>
      </c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31">
        <f t="shared" si="2"/>
        <v>0</v>
      </c>
      <c r="AW25" s="29">
        <f t="shared" si="23"/>
        <v>0</v>
      </c>
      <c r="AX25" s="32">
        <f t="shared" si="4"/>
        <v>0</v>
      </c>
      <c r="AY25" s="32">
        <f t="shared" si="5"/>
        <v>0</v>
      </c>
      <c r="AZ25" s="32">
        <f t="shared" si="6"/>
        <v>0</v>
      </c>
      <c r="BA25" s="32">
        <f t="shared" si="7"/>
        <v>0</v>
      </c>
      <c r="BB25" s="32">
        <f t="shared" si="8"/>
        <v>0</v>
      </c>
      <c r="BD25" s="30"/>
      <c r="BE25" s="30"/>
      <c r="BF25" s="30"/>
      <c r="BG25" s="5"/>
      <c r="BH25" s="5"/>
      <c r="BI25" s="5"/>
      <c r="BJ25" s="25">
        <f t="shared" si="16"/>
        <v>0</v>
      </c>
      <c r="BL25" s="5"/>
      <c r="BM25" s="5"/>
      <c r="BN25" s="5"/>
      <c r="BO25" s="5"/>
      <c r="BP25" s="5"/>
      <c r="BQ25" s="5"/>
      <c r="BR25" s="33">
        <f t="shared" si="0"/>
        <v>0</v>
      </c>
      <c r="BT25" s="36">
        <f t="shared" si="9"/>
        <v>0</v>
      </c>
      <c r="BU25" s="37">
        <f t="shared" si="10"/>
        <v>0</v>
      </c>
      <c r="BV25" s="37">
        <f t="shared" si="11"/>
        <v>0</v>
      </c>
      <c r="BW25" s="37">
        <f t="shared" si="12"/>
        <v>0</v>
      </c>
      <c r="BX25" s="37">
        <f t="shared" si="13"/>
        <v>0</v>
      </c>
      <c r="BY25" s="37">
        <f t="shared" si="14"/>
        <v>0</v>
      </c>
      <c r="BZ25" s="33">
        <f t="shared" si="15"/>
        <v>0</v>
      </c>
      <c r="CB25" s="38">
        <f t="shared" si="17"/>
        <v>0</v>
      </c>
      <c r="CC25" s="38">
        <f t="shared" si="18"/>
        <v>0</v>
      </c>
      <c r="CD25" s="38">
        <f t="shared" si="19"/>
        <v>0</v>
      </c>
      <c r="CE25" s="38">
        <f t="shared" si="20"/>
        <v>0</v>
      </c>
      <c r="CF25" s="38">
        <f t="shared" si="21"/>
        <v>0</v>
      </c>
      <c r="CG25" s="38">
        <f t="shared" si="22"/>
        <v>0</v>
      </c>
    </row>
    <row r="26" spans="1:85" ht="15.5" x14ac:dyDescent="0.35">
      <c r="A26" s="43">
        <v>19</v>
      </c>
      <c r="B26" s="43"/>
      <c r="C26" s="43"/>
      <c r="D26" s="42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28">
        <f t="shared" si="1"/>
        <v>0</v>
      </c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31">
        <f t="shared" si="2"/>
        <v>0</v>
      </c>
      <c r="AW26" s="29">
        <f t="shared" si="23"/>
        <v>0</v>
      </c>
      <c r="AX26" s="29">
        <f t="shared" ref="AX26:AX71" si="24">SUMPRODUCT(($E$5:$P$5="CO2")*(E26:P26))
+SUMPRODUCT(($AA$5:$AL$5="CO2")*(AA26:AL26))
+IF($Q$5="CO2",IF(R26&lt;&gt;"",R26,S26),0)
+IF($S$5="CO2",IF(T26&lt;&gt;"",T26,U26),0)
+IF($U$5="CO2",IF(V26&lt;&gt;"",V26,W26),0)
+IF($W$5="CO2",IF(X26&lt;&gt;"",X26,Y26),0)
+IF($AM$5="CO2",IF(AN26&lt;&gt;"",AN26,AO26),0)
+IF($AO$5="CO2",IF(AP26&lt;&gt;"",AP26,AQ26),0)
+IF($AQ$5="CO2",IF(AR26&lt;&gt;"",AR26,AS26),0)
+IF($AS$5="CO2",IF(AT26&lt;&gt;"",AT26,AU26),0)</f>
        <v>0</v>
      </c>
      <c r="AY26" s="29">
        <f t="shared" ref="AY26:AY71" si="25">SUMPRODUCT(($E$5:$P$5="CO3")*(E26:P26))
+SUMPRODUCT(($AA$5:$AL$5="CO3")*(AA26:AL26))
+IF($Q$5="CO3",IF(Q26&lt;&gt;"",Q26,R26),0)
+IF($S$5="CO3",IF(S26&lt;&gt;"",S26,T26),0)
+IF($U$5="CO3",IF(U26&lt;&gt;"",U26,V26),0)
+IF($W$5="CO3",IF(W26&lt;&gt;"",W26,X26),0)
+IF($AM$5="CO3",IF(AM26&lt;&gt;"",AM26,AN26),0)
+IF($AO$5="CO3",IF(AO26&lt;&gt;"",AO26,AP26),0)
+IF($AQ$5="CO3",IF(AQ26&lt;&gt;"",AQ26,AR26),0)
+IF($AS$5="CO3",IF(AS26&lt;&gt;"",AS26,AT26),0)</f>
        <v>0</v>
      </c>
      <c r="AZ26" s="29">
        <f t="shared" ref="AZ26:AZ71" si="26">SUMPRODUCT(($E$5:$P$5="CO4")*(E26:P26))
+SUMPRODUCT(($AA$5:$AL$5="CO4")*(AA26:AL26))
+IF($Q$5="CO4",IF(Q26&lt;&gt;"",Q26,R26),0)
+IF($S$5="CO4",IF(S26&lt;&gt;"",S26,T26),0)
+IF($U$5="CO4",IF(U26&lt;&gt;"",U26,V26),0)
+IF($W$5="CO4",IF(W26&lt;&gt;"",W26,X26),0)
+IF($AM$5="CO4",IF(AM26&lt;&gt;"",AM26,AN26),0)
+IF($AO$5="CO4",IF(AO26&lt;&gt;"",AO26,AP26),0)
+IF($AQ$5="CO4",IF(AQ26&lt;&gt;"",AQ26,AR26),0)
+IF($AS$5="CO4",IF(AS26&lt;&gt;"",AS26,AT26),0)</f>
        <v>0</v>
      </c>
      <c r="BA26" s="32">
        <f t="shared" si="7"/>
        <v>0</v>
      </c>
      <c r="BB26" s="32">
        <f t="shared" si="8"/>
        <v>0</v>
      </c>
      <c r="BD26" s="30"/>
      <c r="BE26" s="30"/>
      <c r="BF26" s="30"/>
      <c r="BG26" s="5"/>
      <c r="BH26" s="5"/>
      <c r="BI26" s="5"/>
      <c r="BJ26" s="25">
        <f t="shared" si="16"/>
        <v>0</v>
      </c>
      <c r="BL26" s="5"/>
      <c r="BM26" s="5"/>
      <c r="BN26" s="5"/>
      <c r="BO26" s="5"/>
      <c r="BP26" s="5"/>
      <c r="BQ26" s="5"/>
      <c r="BR26" s="33">
        <f t="shared" si="0"/>
        <v>0</v>
      </c>
      <c r="BT26" s="36">
        <f t="shared" si="9"/>
        <v>0</v>
      </c>
      <c r="BU26" s="37">
        <f t="shared" si="10"/>
        <v>0</v>
      </c>
      <c r="BV26" s="37">
        <f t="shared" si="11"/>
        <v>0</v>
      </c>
      <c r="BW26" s="37">
        <f t="shared" si="12"/>
        <v>0</v>
      </c>
      <c r="BX26" s="37">
        <f t="shared" si="13"/>
        <v>0</v>
      </c>
      <c r="BY26" s="37">
        <f t="shared" si="14"/>
        <v>0</v>
      </c>
      <c r="BZ26" s="33">
        <f t="shared" si="15"/>
        <v>0</v>
      </c>
      <c r="CB26" s="38">
        <f t="shared" si="17"/>
        <v>0</v>
      </c>
      <c r="CC26" s="38">
        <f t="shared" si="18"/>
        <v>0</v>
      </c>
      <c r="CD26" s="38">
        <f t="shared" si="19"/>
        <v>0</v>
      </c>
      <c r="CE26" s="38">
        <f t="shared" si="20"/>
        <v>0</v>
      </c>
      <c r="CF26" s="38">
        <f t="shared" si="21"/>
        <v>0</v>
      </c>
      <c r="CG26" s="38">
        <f t="shared" si="22"/>
        <v>0</v>
      </c>
    </row>
    <row r="27" spans="1:85" ht="15.5" x14ac:dyDescent="0.35">
      <c r="A27" s="43">
        <v>20</v>
      </c>
      <c r="B27" s="43"/>
      <c r="C27" s="43"/>
      <c r="D27" s="42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28">
        <f t="shared" si="1"/>
        <v>0</v>
      </c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31">
        <f t="shared" si="2"/>
        <v>0</v>
      </c>
      <c r="AW27" s="29">
        <f t="shared" si="23"/>
        <v>0</v>
      </c>
      <c r="AX27" s="29">
        <f t="shared" si="24"/>
        <v>0</v>
      </c>
      <c r="AY27" s="29">
        <f t="shared" si="25"/>
        <v>0</v>
      </c>
      <c r="AZ27" s="29">
        <f t="shared" si="26"/>
        <v>0</v>
      </c>
      <c r="BA27" s="32">
        <f t="shared" si="7"/>
        <v>0</v>
      </c>
      <c r="BB27" s="32">
        <f t="shared" si="8"/>
        <v>0</v>
      </c>
      <c r="BD27" s="30"/>
      <c r="BE27" s="30"/>
      <c r="BF27" s="30"/>
      <c r="BG27" s="5"/>
      <c r="BH27" s="5"/>
      <c r="BI27" s="5"/>
      <c r="BJ27" s="25">
        <f t="shared" si="16"/>
        <v>0</v>
      </c>
      <c r="BL27" s="5"/>
      <c r="BM27" s="5"/>
      <c r="BN27" s="5"/>
      <c r="BO27" s="5"/>
      <c r="BP27" s="5"/>
      <c r="BQ27" s="5"/>
      <c r="BR27" s="33">
        <f t="shared" si="0"/>
        <v>0</v>
      </c>
      <c r="BT27" s="36">
        <f t="shared" si="9"/>
        <v>0</v>
      </c>
      <c r="BU27" s="37">
        <f t="shared" si="10"/>
        <v>0</v>
      </c>
      <c r="BV27" s="37">
        <f t="shared" si="11"/>
        <v>0</v>
      </c>
      <c r="BW27" s="37">
        <f t="shared" si="12"/>
        <v>0</v>
      </c>
      <c r="BX27" s="37">
        <f t="shared" si="13"/>
        <v>0</v>
      </c>
      <c r="BY27" s="37">
        <f t="shared" si="14"/>
        <v>0</v>
      </c>
      <c r="BZ27" s="33">
        <f t="shared" si="15"/>
        <v>0</v>
      </c>
      <c r="CB27" s="38">
        <f t="shared" si="17"/>
        <v>0</v>
      </c>
      <c r="CC27" s="38">
        <f t="shared" si="18"/>
        <v>0</v>
      </c>
      <c r="CD27" s="38">
        <f t="shared" si="19"/>
        <v>0</v>
      </c>
      <c r="CE27" s="38">
        <f t="shared" si="20"/>
        <v>0</v>
      </c>
      <c r="CF27" s="38">
        <f t="shared" si="21"/>
        <v>0</v>
      </c>
      <c r="CG27" s="38">
        <f t="shared" si="22"/>
        <v>0</v>
      </c>
    </row>
    <row r="28" spans="1:85" ht="15.5" x14ac:dyDescent="0.35">
      <c r="A28" s="43">
        <v>21</v>
      </c>
      <c r="B28" s="43"/>
      <c r="C28" s="43"/>
      <c r="D28" s="42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28">
        <f t="shared" si="1"/>
        <v>0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31">
        <f t="shared" si="2"/>
        <v>0</v>
      </c>
      <c r="AW28" s="29">
        <f t="shared" si="23"/>
        <v>0</v>
      </c>
      <c r="AX28" s="29">
        <f t="shared" si="24"/>
        <v>0</v>
      </c>
      <c r="AY28" s="29">
        <f t="shared" si="25"/>
        <v>0</v>
      </c>
      <c r="AZ28" s="29">
        <f t="shared" si="26"/>
        <v>0</v>
      </c>
      <c r="BA28" s="32">
        <f t="shared" si="7"/>
        <v>0</v>
      </c>
      <c r="BB28" s="32">
        <f t="shared" si="8"/>
        <v>0</v>
      </c>
      <c r="BD28" s="30"/>
      <c r="BE28" s="30"/>
      <c r="BF28" s="30"/>
      <c r="BG28" s="5"/>
      <c r="BH28" s="5"/>
      <c r="BI28" s="5"/>
      <c r="BJ28" s="25">
        <f t="shared" si="16"/>
        <v>0</v>
      </c>
      <c r="BL28" s="5"/>
      <c r="BM28" s="5"/>
      <c r="BN28" s="5"/>
      <c r="BO28" s="5"/>
      <c r="BP28" s="5"/>
      <c r="BQ28" s="5"/>
      <c r="BR28" s="33">
        <f t="shared" si="0"/>
        <v>0</v>
      </c>
      <c r="BT28" s="36">
        <f t="shared" si="9"/>
        <v>0</v>
      </c>
      <c r="BU28" s="37">
        <f t="shared" si="10"/>
        <v>0</v>
      </c>
      <c r="BV28" s="37">
        <f t="shared" si="11"/>
        <v>0</v>
      </c>
      <c r="BW28" s="37">
        <f t="shared" si="12"/>
        <v>0</v>
      </c>
      <c r="BX28" s="37">
        <f t="shared" si="13"/>
        <v>0</v>
      </c>
      <c r="BY28" s="37">
        <f t="shared" si="14"/>
        <v>0</v>
      </c>
      <c r="BZ28" s="33">
        <f t="shared" si="15"/>
        <v>0</v>
      </c>
      <c r="CB28" s="38">
        <f t="shared" si="17"/>
        <v>0</v>
      </c>
      <c r="CC28" s="38">
        <f t="shared" si="18"/>
        <v>0</v>
      </c>
      <c r="CD28" s="38">
        <f t="shared" si="19"/>
        <v>0</v>
      </c>
      <c r="CE28" s="38">
        <f t="shared" si="20"/>
        <v>0</v>
      </c>
      <c r="CF28" s="38">
        <f t="shared" si="21"/>
        <v>0</v>
      </c>
      <c r="CG28" s="38">
        <f t="shared" si="22"/>
        <v>0</v>
      </c>
    </row>
    <row r="29" spans="1:85" ht="15.5" x14ac:dyDescent="0.35">
      <c r="A29" s="43">
        <v>22</v>
      </c>
      <c r="B29" s="43"/>
      <c r="C29" s="43"/>
      <c r="D29" s="42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28">
        <f t="shared" si="1"/>
        <v>0</v>
      </c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31">
        <f t="shared" si="2"/>
        <v>0</v>
      </c>
      <c r="AW29" s="29">
        <f t="shared" si="23"/>
        <v>0</v>
      </c>
      <c r="AX29" s="29">
        <f t="shared" si="24"/>
        <v>0</v>
      </c>
      <c r="AY29" s="29">
        <f t="shared" si="25"/>
        <v>0</v>
      </c>
      <c r="AZ29" s="29">
        <f t="shared" si="26"/>
        <v>0</v>
      </c>
      <c r="BA29" s="32">
        <f t="shared" si="7"/>
        <v>0</v>
      </c>
      <c r="BB29" s="32">
        <f t="shared" si="8"/>
        <v>0</v>
      </c>
      <c r="BD29" s="30"/>
      <c r="BE29" s="30"/>
      <c r="BF29" s="30"/>
      <c r="BG29" s="5"/>
      <c r="BH29" s="5"/>
      <c r="BI29" s="5"/>
      <c r="BJ29" s="25">
        <f t="shared" si="16"/>
        <v>0</v>
      </c>
      <c r="BL29" s="5"/>
      <c r="BM29" s="5"/>
      <c r="BN29" s="5"/>
      <c r="BO29" s="5"/>
      <c r="BP29" s="5"/>
      <c r="BQ29" s="5"/>
      <c r="BR29" s="33">
        <f t="shared" si="0"/>
        <v>0</v>
      </c>
      <c r="BT29" s="36">
        <f t="shared" si="9"/>
        <v>0</v>
      </c>
      <c r="BU29" s="37">
        <f t="shared" si="10"/>
        <v>0</v>
      </c>
      <c r="BV29" s="37">
        <f t="shared" si="11"/>
        <v>0</v>
      </c>
      <c r="BW29" s="37">
        <f t="shared" si="12"/>
        <v>0</v>
      </c>
      <c r="BX29" s="37">
        <f t="shared" si="13"/>
        <v>0</v>
      </c>
      <c r="BY29" s="37">
        <f t="shared" si="14"/>
        <v>0</v>
      </c>
      <c r="BZ29" s="33">
        <f t="shared" si="15"/>
        <v>0</v>
      </c>
      <c r="CB29" s="38">
        <f t="shared" si="17"/>
        <v>0</v>
      </c>
      <c r="CC29" s="38">
        <f t="shared" si="18"/>
        <v>0</v>
      </c>
      <c r="CD29" s="38">
        <f t="shared" si="19"/>
        <v>0</v>
      </c>
      <c r="CE29" s="38">
        <f t="shared" si="20"/>
        <v>0</v>
      </c>
      <c r="CF29" s="38">
        <f t="shared" si="21"/>
        <v>0</v>
      </c>
      <c r="CG29" s="38">
        <f t="shared" si="22"/>
        <v>0</v>
      </c>
    </row>
    <row r="30" spans="1:85" ht="15.5" x14ac:dyDescent="0.35">
      <c r="A30" s="43">
        <v>23</v>
      </c>
      <c r="B30" s="43"/>
      <c r="C30" s="43"/>
      <c r="D30" s="4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28">
        <f t="shared" si="1"/>
        <v>0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31">
        <f t="shared" si="2"/>
        <v>0</v>
      </c>
      <c r="AW30" s="29">
        <f t="shared" si="23"/>
        <v>0</v>
      </c>
      <c r="AX30" s="29">
        <f t="shared" si="24"/>
        <v>0</v>
      </c>
      <c r="AY30" s="29">
        <f t="shared" si="25"/>
        <v>0</v>
      </c>
      <c r="AZ30" s="29">
        <f t="shared" si="26"/>
        <v>0</v>
      </c>
      <c r="BA30" s="29">
        <f t="shared" ref="BA30:BA71" si="27">SUMPRODUCT(($E$5:$P$5="CO5")*(E30:P30))
+SUMPRODUCT(($AA$5:$AL$5="CO5")*(AA30:AL30))
+IF($Q$5="CO5",IF(Q30&lt;&gt;"",Q30,R30),0)
+IF($S$5="CO5",IF(S30&lt;&gt;"",S30,T30),0)
+IF($U$5="CO5",IF(U30&lt;&gt;"",U30,V30),0)
+IF($W$5="CO5",IF(W30&lt;&gt;"",W30,X30),0)
+IF($AM$5="CO5",IF(AM30&lt;&gt;"",AM30,AN30),0)
+IF($AO$5="CO5",IF(AO30&lt;&gt;"",AO30,AP30),0)
+IF($AQ$5="CO5",IF(AQ30&lt;&gt;"",AQ30,AR30),0)
+IF($AS$5="CO5",IF(AS30&lt;&gt;"",AS30,AT30),0)</f>
        <v>0</v>
      </c>
      <c r="BB30" s="32">
        <f t="shared" si="8"/>
        <v>0</v>
      </c>
      <c r="BD30" s="30"/>
      <c r="BE30" s="30"/>
      <c r="BF30" s="30"/>
      <c r="BG30" s="5"/>
      <c r="BH30" s="5"/>
      <c r="BI30" s="5"/>
      <c r="BJ30" s="25">
        <f t="shared" si="16"/>
        <v>0</v>
      </c>
      <c r="BL30" s="5"/>
      <c r="BM30" s="5"/>
      <c r="BN30" s="5"/>
      <c r="BO30" s="5"/>
      <c r="BP30" s="5"/>
      <c r="BQ30" s="5"/>
      <c r="BR30" s="33">
        <f t="shared" si="0"/>
        <v>0</v>
      </c>
      <c r="BT30" s="36">
        <f t="shared" si="9"/>
        <v>0</v>
      </c>
      <c r="BU30" s="37">
        <f t="shared" si="10"/>
        <v>0</v>
      </c>
      <c r="BV30" s="37">
        <f t="shared" si="11"/>
        <v>0</v>
      </c>
      <c r="BW30" s="37">
        <f t="shared" si="12"/>
        <v>0</v>
      </c>
      <c r="BX30" s="37">
        <f t="shared" si="13"/>
        <v>0</v>
      </c>
      <c r="BY30" s="37">
        <f t="shared" si="14"/>
        <v>0</v>
      </c>
      <c r="BZ30" s="33">
        <f t="shared" si="15"/>
        <v>0</v>
      </c>
      <c r="CB30" s="38">
        <f t="shared" si="17"/>
        <v>0</v>
      </c>
      <c r="CC30" s="38">
        <f t="shared" si="18"/>
        <v>0</v>
      </c>
      <c r="CD30" s="38">
        <f t="shared" si="19"/>
        <v>0</v>
      </c>
      <c r="CE30" s="38">
        <f t="shared" si="20"/>
        <v>0</v>
      </c>
      <c r="CF30" s="38">
        <f t="shared" si="21"/>
        <v>0</v>
      </c>
      <c r="CG30" s="38">
        <f t="shared" si="22"/>
        <v>0</v>
      </c>
    </row>
    <row r="31" spans="1:85" ht="15.5" x14ac:dyDescent="0.35">
      <c r="A31" s="43">
        <v>24</v>
      </c>
      <c r="B31" s="43"/>
      <c r="C31" s="43"/>
      <c r="D31" s="42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28">
        <f t="shared" si="1"/>
        <v>0</v>
      </c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31">
        <f t="shared" si="2"/>
        <v>0</v>
      </c>
      <c r="AW31" s="29">
        <f t="shared" si="23"/>
        <v>0</v>
      </c>
      <c r="AX31" s="29">
        <f t="shared" si="24"/>
        <v>0</v>
      </c>
      <c r="AY31" s="29">
        <f t="shared" si="25"/>
        <v>0</v>
      </c>
      <c r="AZ31" s="29">
        <f t="shared" si="26"/>
        <v>0</v>
      </c>
      <c r="BA31" s="29">
        <f t="shared" si="27"/>
        <v>0</v>
      </c>
      <c r="BB31" s="29">
        <f t="shared" ref="BB31:BB71" si="28">SUMPRODUCT(($E$5:$P$5="CO6")*(E31:P31))
+SUMPRODUCT(($AA$5:$AL$5="CO6")*(AA31:AL31))
+IF($Q$5="CO6",IF(Q31&lt;&gt;"",Q31,R31),0)
+IF($S$5="CO6",IF(S31&lt;&gt;"",S31,T31),0)
+IF($U$5="CO6",IF(U31&lt;&gt;"",U31,V31),0)
+IF($W$5="CO6",IF(W31&lt;&gt;"",W31,X31),0)
+IF($AM$5="CO6",IF(AM31&lt;&gt;"",AM31,AN31),0)
+IF($AO$5="CO6",IF(AO31&lt;&gt;"",AO31,AP31),0)
+IF($AQ$5="CO6",IF(AQ31&lt;&gt;"",AQ31,AR31),0)
+IF($AS$5="CO6",IF(AS31&lt;&gt;"",AS31,AT31),0)</f>
        <v>0</v>
      </c>
      <c r="BD31" s="30"/>
      <c r="BE31" s="30"/>
      <c r="BF31" s="30"/>
      <c r="BG31" s="5"/>
      <c r="BH31" s="5"/>
      <c r="BI31" s="5"/>
      <c r="BJ31" s="25">
        <f t="shared" si="16"/>
        <v>0</v>
      </c>
      <c r="BL31" s="5"/>
      <c r="BM31" s="5"/>
      <c r="BN31" s="5"/>
      <c r="BO31" s="5"/>
      <c r="BP31" s="5"/>
      <c r="BQ31" s="5"/>
      <c r="BR31" s="33">
        <f t="shared" si="0"/>
        <v>0</v>
      </c>
      <c r="BT31" s="36">
        <f t="shared" si="9"/>
        <v>0</v>
      </c>
      <c r="BU31" s="37">
        <f t="shared" si="10"/>
        <v>0</v>
      </c>
      <c r="BV31" s="37">
        <f t="shared" si="11"/>
        <v>0</v>
      </c>
      <c r="BW31" s="37">
        <f t="shared" si="12"/>
        <v>0</v>
      </c>
      <c r="BX31" s="37">
        <f t="shared" si="13"/>
        <v>0</v>
      </c>
      <c r="BY31" s="37">
        <f t="shared" si="14"/>
        <v>0</v>
      </c>
      <c r="BZ31" s="33">
        <f t="shared" si="15"/>
        <v>0</v>
      </c>
      <c r="CB31" s="38">
        <f t="shared" si="17"/>
        <v>0</v>
      </c>
      <c r="CC31" s="38">
        <f t="shared" si="18"/>
        <v>0</v>
      </c>
      <c r="CD31" s="38">
        <f t="shared" si="19"/>
        <v>0</v>
      </c>
      <c r="CE31" s="38">
        <f t="shared" si="20"/>
        <v>0</v>
      </c>
      <c r="CF31" s="38">
        <f t="shared" si="21"/>
        <v>0</v>
      </c>
      <c r="CG31" s="38">
        <f t="shared" si="22"/>
        <v>0</v>
      </c>
    </row>
    <row r="32" spans="1:85" ht="15.5" x14ac:dyDescent="0.35">
      <c r="A32" s="43">
        <v>25</v>
      </c>
      <c r="B32" s="43"/>
      <c r="C32" s="43"/>
      <c r="D32" s="42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28">
        <f t="shared" si="1"/>
        <v>0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31">
        <f t="shared" si="2"/>
        <v>0</v>
      </c>
      <c r="AW32" s="29">
        <f t="shared" si="23"/>
        <v>0</v>
      </c>
      <c r="AX32" s="29">
        <f t="shared" si="24"/>
        <v>0</v>
      </c>
      <c r="AY32" s="29">
        <f t="shared" si="25"/>
        <v>0</v>
      </c>
      <c r="AZ32" s="29">
        <f t="shared" si="26"/>
        <v>0</v>
      </c>
      <c r="BA32" s="29">
        <f t="shared" si="27"/>
        <v>0</v>
      </c>
      <c r="BB32" s="29">
        <f t="shared" si="28"/>
        <v>0</v>
      </c>
      <c r="BD32" s="30"/>
      <c r="BE32" s="30"/>
      <c r="BF32" s="30"/>
      <c r="BG32" s="5"/>
      <c r="BH32" s="5"/>
      <c r="BI32" s="5"/>
      <c r="BJ32" s="25">
        <f t="shared" si="16"/>
        <v>0</v>
      </c>
      <c r="BL32" s="5"/>
      <c r="BM32" s="5"/>
      <c r="BN32" s="5"/>
      <c r="BO32" s="5"/>
      <c r="BP32" s="5"/>
      <c r="BQ32" s="5"/>
      <c r="BR32" s="33">
        <f t="shared" si="0"/>
        <v>0</v>
      </c>
      <c r="BT32" s="36">
        <f t="shared" si="9"/>
        <v>0</v>
      </c>
      <c r="BU32" s="37">
        <f t="shared" si="10"/>
        <v>0</v>
      </c>
      <c r="BV32" s="37">
        <f t="shared" si="11"/>
        <v>0</v>
      </c>
      <c r="BW32" s="37">
        <f t="shared" si="12"/>
        <v>0</v>
      </c>
      <c r="BX32" s="37">
        <f t="shared" si="13"/>
        <v>0</v>
      </c>
      <c r="BY32" s="37">
        <f t="shared" si="14"/>
        <v>0</v>
      </c>
      <c r="BZ32" s="33">
        <f t="shared" si="15"/>
        <v>0</v>
      </c>
      <c r="CB32" s="38">
        <f t="shared" si="17"/>
        <v>0</v>
      </c>
      <c r="CC32" s="38">
        <f t="shared" si="18"/>
        <v>0</v>
      </c>
      <c r="CD32" s="38">
        <f t="shared" si="19"/>
        <v>0</v>
      </c>
      <c r="CE32" s="38">
        <f t="shared" si="20"/>
        <v>0</v>
      </c>
      <c r="CF32" s="38">
        <f t="shared" si="21"/>
        <v>0</v>
      </c>
      <c r="CG32" s="38">
        <f t="shared" si="22"/>
        <v>0</v>
      </c>
    </row>
    <row r="33" spans="1:85" ht="15.5" x14ac:dyDescent="0.35">
      <c r="A33" s="43">
        <v>26</v>
      </c>
      <c r="B33" s="43"/>
      <c r="C33" s="43"/>
      <c r="D33" s="42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28">
        <f t="shared" si="1"/>
        <v>0</v>
      </c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31">
        <f t="shared" si="2"/>
        <v>0</v>
      </c>
      <c r="AW33" s="29">
        <f t="shared" si="23"/>
        <v>0</v>
      </c>
      <c r="AX33" s="29">
        <f t="shared" si="24"/>
        <v>0</v>
      </c>
      <c r="AY33" s="29">
        <f t="shared" si="25"/>
        <v>0</v>
      </c>
      <c r="AZ33" s="29">
        <f t="shared" si="26"/>
        <v>0</v>
      </c>
      <c r="BA33" s="29">
        <f t="shared" si="27"/>
        <v>0</v>
      </c>
      <c r="BB33" s="29">
        <f t="shared" si="28"/>
        <v>0</v>
      </c>
      <c r="BD33" s="30"/>
      <c r="BE33" s="30"/>
      <c r="BF33" s="30"/>
      <c r="BG33" s="5"/>
      <c r="BH33" s="5"/>
      <c r="BI33" s="5"/>
      <c r="BJ33" s="25">
        <f t="shared" si="16"/>
        <v>0</v>
      </c>
      <c r="BL33" s="5"/>
      <c r="BM33" s="5"/>
      <c r="BN33" s="5"/>
      <c r="BO33" s="5"/>
      <c r="BP33" s="5"/>
      <c r="BQ33" s="5"/>
      <c r="BR33" s="33">
        <f t="shared" si="0"/>
        <v>0</v>
      </c>
      <c r="BT33" s="36">
        <f t="shared" si="9"/>
        <v>0</v>
      </c>
      <c r="BU33" s="37">
        <f t="shared" si="10"/>
        <v>0</v>
      </c>
      <c r="BV33" s="37">
        <f t="shared" si="11"/>
        <v>0</v>
      </c>
      <c r="BW33" s="37">
        <f t="shared" si="12"/>
        <v>0</v>
      </c>
      <c r="BX33" s="37">
        <f t="shared" si="13"/>
        <v>0</v>
      </c>
      <c r="BY33" s="37">
        <f t="shared" si="14"/>
        <v>0</v>
      </c>
      <c r="BZ33" s="33">
        <f t="shared" si="15"/>
        <v>0</v>
      </c>
      <c r="CB33" s="38">
        <f t="shared" si="17"/>
        <v>0</v>
      </c>
      <c r="CC33" s="38">
        <f t="shared" si="18"/>
        <v>0</v>
      </c>
      <c r="CD33" s="38">
        <f t="shared" si="19"/>
        <v>0</v>
      </c>
      <c r="CE33" s="38">
        <f t="shared" si="20"/>
        <v>0</v>
      </c>
      <c r="CF33" s="38">
        <f t="shared" si="21"/>
        <v>0</v>
      </c>
      <c r="CG33" s="38">
        <f t="shared" si="22"/>
        <v>0</v>
      </c>
    </row>
    <row r="34" spans="1:85" ht="15.5" x14ac:dyDescent="0.35">
      <c r="A34" s="43">
        <v>27</v>
      </c>
      <c r="B34" s="43"/>
      <c r="C34" s="43"/>
      <c r="D34" s="42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28">
        <f t="shared" si="1"/>
        <v>0</v>
      </c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31">
        <f t="shared" si="2"/>
        <v>0</v>
      </c>
      <c r="AW34" s="29">
        <f t="shared" si="23"/>
        <v>0</v>
      </c>
      <c r="AX34" s="29">
        <f t="shared" si="24"/>
        <v>0</v>
      </c>
      <c r="AY34" s="29">
        <f t="shared" si="25"/>
        <v>0</v>
      </c>
      <c r="AZ34" s="29">
        <f t="shared" si="26"/>
        <v>0</v>
      </c>
      <c r="BA34" s="29">
        <f t="shared" si="27"/>
        <v>0</v>
      </c>
      <c r="BB34" s="29">
        <f t="shared" si="28"/>
        <v>0</v>
      </c>
      <c r="BD34" s="30"/>
      <c r="BE34" s="30"/>
      <c r="BF34" s="30"/>
      <c r="BG34" s="5"/>
      <c r="BH34" s="5"/>
      <c r="BI34" s="5"/>
      <c r="BJ34" s="25">
        <f t="shared" si="16"/>
        <v>0</v>
      </c>
      <c r="BL34" s="5"/>
      <c r="BM34" s="5"/>
      <c r="BN34" s="5"/>
      <c r="BO34" s="5"/>
      <c r="BP34" s="5"/>
      <c r="BQ34" s="5"/>
      <c r="BR34" s="33">
        <f t="shared" si="0"/>
        <v>0</v>
      </c>
      <c r="BT34" s="36">
        <f t="shared" si="9"/>
        <v>0</v>
      </c>
      <c r="BU34" s="37">
        <f t="shared" si="10"/>
        <v>0</v>
      </c>
      <c r="BV34" s="37">
        <f t="shared" si="11"/>
        <v>0</v>
      </c>
      <c r="BW34" s="37">
        <f t="shared" si="12"/>
        <v>0</v>
      </c>
      <c r="BX34" s="37">
        <f t="shared" si="13"/>
        <v>0</v>
      </c>
      <c r="BY34" s="37">
        <f t="shared" si="14"/>
        <v>0</v>
      </c>
      <c r="BZ34" s="33">
        <f t="shared" si="15"/>
        <v>0</v>
      </c>
      <c r="CB34" s="38">
        <f t="shared" si="17"/>
        <v>0</v>
      </c>
      <c r="CC34" s="38">
        <f t="shared" si="18"/>
        <v>0</v>
      </c>
      <c r="CD34" s="38">
        <f t="shared" si="19"/>
        <v>0</v>
      </c>
      <c r="CE34" s="38">
        <f t="shared" si="20"/>
        <v>0</v>
      </c>
      <c r="CF34" s="38">
        <f t="shared" si="21"/>
        <v>0</v>
      </c>
      <c r="CG34" s="38">
        <f t="shared" si="22"/>
        <v>0</v>
      </c>
    </row>
    <row r="35" spans="1:85" ht="15.5" x14ac:dyDescent="0.35">
      <c r="A35" s="43">
        <v>28</v>
      </c>
      <c r="B35" s="43"/>
      <c r="C35" s="43"/>
      <c r="D35" s="42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28">
        <f t="shared" si="1"/>
        <v>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31">
        <f t="shared" si="2"/>
        <v>0</v>
      </c>
      <c r="AW35" s="29">
        <f t="shared" si="23"/>
        <v>0</v>
      </c>
      <c r="AX35" s="29">
        <f t="shared" si="24"/>
        <v>0</v>
      </c>
      <c r="AY35" s="29">
        <f t="shared" si="25"/>
        <v>0</v>
      </c>
      <c r="AZ35" s="29">
        <f t="shared" si="26"/>
        <v>0</v>
      </c>
      <c r="BA35" s="29">
        <f t="shared" si="27"/>
        <v>0</v>
      </c>
      <c r="BB35" s="29">
        <f t="shared" si="28"/>
        <v>0</v>
      </c>
      <c r="BD35" s="30"/>
      <c r="BE35" s="30"/>
      <c r="BF35" s="30"/>
      <c r="BG35" s="5"/>
      <c r="BH35" s="5"/>
      <c r="BI35" s="5"/>
      <c r="BJ35" s="25">
        <f t="shared" si="16"/>
        <v>0</v>
      </c>
      <c r="BL35" s="5"/>
      <c r="BM35" s="5"/>
      <c r="BN35" s="5"/>
      <c r="BO35" s="5"/>
      <c r="BP35" s="5"/>
      <c r="BQ35" s="5"/>
      <c r="BR35" s="33">
        <f t="shared" si="0"/>
        <v>0</v>
      </c>
      <c r="BT35" s="36">
        <f t="shared" si="9"/>
        <v>0</v>
      </c>
      <c r="BU35" s="37">
        <f t="shared" si="10"/>
        <v>0</v>
      </c>
      <c r="BV35" s="37">
        <f t="shared" si="11"/>
        <v>0</v>
      </c>
      <c r="BW35" s="37">
        <f t="shared" si="12"/>
        <v>0</v>
      </c>
      <c r="BX35" s="37">
        <f t="shared" si="13"/>
        <v>0</v>
      </c>
      <c r="BY35" s="37">
        <f t="shared" si="14"/>
        <v>0</v>
      </c>
      <c r="BZ35" s="33">
        <f t="shared" si="15"/>
        <v>0</v>
      </c>
      <c r="CB35" s="38">
        <f t="shared" si="17"/>
        <v>0</v>
      </c>
      <c r="CC35" s="38">
        <f t="shared" si="18"/>
        <v>0</v>
      </c>
      <c r="CD35" s="38">
        <f t="shared" si="19"/>
        <v>0</v>
      </c>
      <c r="CE35" s="38">
        <f t="shared" si="20"/>
        <v>0</v>
      </c>
      <c r="CF35" s="38">
        <f t="shared" si="21"/>
        <v>0</v>
      </c>
      <c r="CG35" s="38">
        <f t="shared" si="22"/>
        <v>0</v>
      </c>
    </row>
    <row r="36" spans="1:85" ht="15.5" x14ac:dyDescent="0.35">
      <c r="A36" s="43">
        <v>29</v>
      </c>
      <c r="B36" s="43"/>
      <c r="C36" s="43"/>
      <c r="D36" s="42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28">
        <f t="shared" si="1"/>
        <v>0</v>
      </c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31">
        <f t="shared" si="2"/>
        <v>0</v>
      </c>
      <c r="AW36" s="29">
        <f t="shared" si="23"/>
        <v>0</v>
      </c>
      <c r="AX36" s="29">
        <f t="shared" si="24"/>
        <v>0</v>
      </c>
      <c r="AY36" s="29">
        <f t="shared" si="25"/>
        <v>0</v>
      </c>
      <c r="AZ36" s="29">
        <f t="shared" si="26"/>
        <v>0</v>
      </c>
      <c r="BA36" s="29">
        <f t="shared" si="27"/>
        <v>0</v>
      </c>
      <c r="BB36" s="29">
        <f t="shared" si="28"/>
        <v>0</v>
      </c>
      <c r="BD36" s="30"/>
      <c r="BE36" s="30"/>
      <c r="BF36" s="30"/>
      <c r="BG36" s="5"/>
      <c r="BH36" s="5"/>
      <c r="BI36" s="5"/>
      <c r="BJ36" s="25">
        <f t="shared" si="16"/>
        <v>0</v>
      </c>
      <c r="BL36" s="5"/>
      <c r="BM36" s="5"/>
      <c r="BN36" s="5"/>
      <c r="BO36" s="5"/>
      <c r="BP36" s="5"/>
      <c r="BQ36" s="5"/>
      <c r="BR36" s="33">
        <f t="shared" si="0"/>
        <v>0</v>
      </c>
      <c r="BT36" s="36">
        <f t="shared" si="9"/>
        <v>0</v>
      </c>
      <c r="BU36" s="37">
        <f t="shared" si="10"/>
        <v>0</v>
      </c>
      <c r="BV36" s="37">
        <f t="shared" si="11"/>
        <v>0</v>
      </c>
      <c r="BW36" s="37">
        <f t="shared" si="12"/>
        <v>0</v>
      </c>
      <c r="BX36" s="37">
        <f t="shared" si="13"/>
        <v>0</v>
      </c>
      <c r="BY36" s="37">
        <f t="shared" si="14"/>
        <v>0</v>
      </c>
      <c r="BZ36" s="33">
        <f t="shared" si="15"/>
        <v>0</v>
      </c>
      <c r="CB36" s="38">
        <f t="shared" si="17"/>
        <v>0</v>
      </c>
      <c r="CC36" s="38">
        <f t="shared" si="18"/>
        <v>0</v>
      </c>
      <c r="CD36" s="38">
        <f t="shared" si="19"/>
        <v>0</v>
      </c>
      <c r="CE36" s="38">
        <f t="shared" si="20"/>
        <v>0</v>
      </c>
      <c r="CF36" s="38">
        <f t="shared" si="21"/>
        <v>0</v>
      </c>
      <c r="CG36" s="38">
        <f t="shared" si="22"/>
        <v>0</v>
      </c>
    </row>
    <row r="37" spans="1:85" ht="15.5" x14ac:dyDescent="0.35">
      <c r="A37" s="43">
        <v>30</v>
      </c>
      <c r="B37" s="43"/>
      <c r="C37" s="43"/>
      <c r="D37" s="42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28">
        <f t="shared" si="1"/>
        <v>0</v>
      </c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31">
        <f t="shared" si="2"/>
        <v>0</v>
      </c>
      <c r="AW37" s="29">
        <f t="shared" si="23"/>
        <v>0</v>
      </c>
      <c r="AX37" s="29">
        <f t="shared" si="24"/>
        <v>0</v>
      </c>
      <c r="AY37" s="29">
        <f t="shared" si="25"/>
        <v>0</v>
      </c>
      <c r="AZ37" s="29">
        <f t="shared" si="26"/>
        <v>0</v>
      </c>
      <c r="BA37" s="29">
        <f t="shared" si="27"/>
        <v>0</v>
      </c>
      <c r="BB37" s="29">
        <f t="shared" si="28"/>
        <v>0</v>
      </c>
      <c r="BD37" s="30"/>
      <c r="BE37" s="30"/>
      <c r="BF37" s="30"/>
      <c r="BG37" s="5"/>
      <c r="BH37" s="5"/>
      <c r="BI37" s="5"/>
      <c r="BJ37" s="25">
        <f t="shared" si="16"/>
        <v>0</v>
      </c>
      <c r="BL37" s="5"/>
      <c r="BM37" s="5"/>
      <c r="BN37" s="5"/>
      <c r="BO37" s="5"/>
      <c r="BP37" s="5"/>
      <c r="BQ37" s="5"/>
      <c r="BR37" s="33">
        <f t="shared" si="0"/>
        <v>0</v>
      </c>
      <c r="BT37" s="36">
        <f t="shared" si="9"/>
        <v>0</v>
      </c>
      <c r="BU37" s="37">
        <f t="shared" si="10"/>
        <v>0</v>
      </c>
      <c r="BV37" s="37">
        <f t="shared" si="11"/>
        <v>0</v>
      </c>
      <c r="BW37" s="37">
        <f t="shared" si="12"/>
        <v>0</v>
      </c>
      <c r="BX37" s="37">
        <f t="shared" si="13"/>
        <v>0</v>
      </c>
      <c r="BY37" s="37">
        <f t="shared" si="14"/>
        <v>0</v>
      </c>
      <c r="BZ37" s="33">
        <f t="shared" si="15"/>
        <v>0</v>
      </c>
      <c r="CB37" s="38">
        <f t="shared" si="17"/>
        <v>0</v>
      </c>
      <c r="CC37" s="38">
        <f t="shared" si="18"/>
        <v>0</v>
      </c>
      <c r="CD37" s="38">
        <f t="shared" si="19"/>
        <v>0</v>
      </c>
      <c r="CE37" s="38">
        <f t="shared" si="20"/>
        <v>0</v>
      </c>
      <c r="CF37" s="38">
        <f t="shared" si="21"/>
        <v>0</v>
      </c>
      <c r="CG37" s="38">
        <f t="shared" si="22"/>
        <v>0</v>
      </c>
    </row>
    <row r="38" spans="1:85" ht="15.5" x14ac:dyDescent="0.35">
      <c r="A38" s="43">
        <v>31</v>
      </c>
      <c r="B38" s="43"/>
      <c r="C38" s="43"/>
      <c r="D38" s="42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28">
        <f t="shared" si="1"/>
        <v>0</v>
      </c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31">
        <f t="shared" si="2"/>
        <v>0</v>
      </c>
      <c r="AW38" s="29">
        <f t="shared" si="23"/>
        <v>0</v>
      </c>
      <c r="AX38" s="29">
        <f t="shared" si="24"/>
        <v>0</v>
      </c>
      <c r="AY38" s="29">
        <f t="shared" si="25"/>
        <v>0</v>
      </c>
      <c r="AZ38" s="29">
        <f t="shared" si="26"/>
        <v>0</v>
      </c>
      <c r="BA38" s="29">
        <f t="shared" si="27"/>
        <v>0</v>
      </c>
      <c r="BB38" s="29">
        <f t="shared" si="28"/>
        <v>0</v>
      </c>
      <c r="BD38" s="30"/>
      <c r="BE38" s="30"/>
      <c r="BF38" s="30"/>
      <c r="BG38" s="5"/>
      <c r="BH38" s="5"/>
      <c r="BI38" s="5"/>
      <c r="BJ38" s="25">
        <f t="shared" si="16"/>
        <v>0</v>
      </c>
      <c r="BL38" s="5"/>
      <c r="BM38" s="5"/>
      <c r="BN38" s="5"/>
      <c r="BO38" s="5"/>
      <c r="BP38" s="5"/>
      <c r="BQ38" s="5"/>
      <c r="BR38" s="33">
        <f t="shared" si="0"/>
        <v>0</v>
      </c>
      <c r="BT38" s="36">
        <f t="shared" si="9"/>
        <v>0</v>
      </c>
      <c r="BU38" s="37">
        <f t="shared" si="10"/>
        <v>0</v>
      </c>
      <c r="BV38" s="37">
        <f t="shared" si="11"/>
        <v>0</v>
      </c>
      <c r="BW38" s="37">
        <f t="shared" si="12"/>
        <v>0</v>
      </c>
      <c r="BX38" s="37">
        <f t="shared" si="13"/>
        <v>0</v>
      </c>
      <c r="BY38" s="37">
        <f t="shared" si="14"/>
        <v>0</v>
      </c>
      <c r="BZ38" s="33">
        <f t="shared" si="15"/>
        <v>0</v>
      </c>
      <c r="CB38" s="38">
        <f t="shared" si="17"/>
        <v>0</v>
      </c>
      <c r="CC38" s="38">
        <f t="shared" si="18"/>
        <v>0</v>
      </c>
      <c r="CD38" s="38">
        <f t="shared" si="19"/>
        <v>0</v>
      </c>
      <c r="CE38" s="38">
        <f t="shared" si="20"/>
        <v>0</v>
      </c>
      <c r="CF38" s="38">
        <f t="shared" si="21"/>
        <v>0</v>
      </c>
      <c r="CG38" s="38">
        <f t="shared" si="22"/>
        <v>0</v>
      </c>
    </row>
    <row r="39" spans="1:85" ht="15.5" x14ac:dyDescent="0.35">
      <c r="A39" s="43">
        <v>32</v>
      </c>
      <c r="B39" s="43"/>
      <c r="C39" s="43"/>
      <c r="D39" s="4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28">
        <f t="shared" si="1"/>
        <v>0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31">
        <f t="shared" si="2"/>
        <v>0</v>
      </c>
      <c r="AW39" s="29">
        <f t="shared" si="23"/>
        <v>0</v>
      </c>
      <c r="AX39" s="29">
        <f t="shared" si="24"/>
        <v>0</v>
      </c>
      <c r="AY39" s="29">
        <f t="shared" si="25"/>
        <v>0</v>
      </c>
      <c r="AZ39" s="29">
        <f t="shared" si="26"/>
        <v>0</v>
      </c>
      <c r="BA39" s="29">
        <f t="shared" si="27"/>
        <v>0</v>
      </c>
      <c r="BB39" s="29">
        <f t="shared" si="28"/>
        <v>0</v>
      </c>
      <c r="BD39" s="30"/>
      <c r="BE39" s="30"/>
      <c r="BF39" s="30"/>
      <c r="BG39" s="5"/>
      <c r="BH39" s="5"/>
      <c r="BI39" s="5"/>
      <c r="BJ39" s="25">
        <f t="shared" si="16"/>
        <v>0</v>
      </c>
      <c r="BL39" s="5"/>
      <c r="BM39" s="5"/>
      <c r="BN39" s="5"/>
      <c r="BO39" s="5"/>
      <c r="BP39" s="5"/>
      <c r="BQ39" s="5"/>
      <c r="BR39" s="33">
        <f t="shared" si="0"/>
        <v>0</v>
      </c>
      <c r="BT39" s="36">
        <f t="shared" si="9"/>
        <v>0</v>
      </c>
      <c r="BU39" s="37">
        <f t="shared" si="10"/>
        <v>0</v>
      </c>
      <c r="BV39" s="37">
        <f t="shared" si="11"/>
        <v>0</v>
      </c>
      <c r="BW39" s="37">
        <f t="shared" si="12"/>
        <v>0</v>
      </c>
      <c r="BX39" s="37">
        <f t="shared" si="13"/>
        <v>0</v>
      </c>
      <c r="BY39" s="37">
        <f t="shared" si="14"/>
        <v>0</v>
      </c>
      <c r="BZ39" s="33">
        <f t="shared" si="15"/>
        <v>0</v>
      </c>
      <c r="CB39" s="38">
        <f t="shared" si="17"/>
        <v>0</v>
      </c>
      <c r="CC39" s="38">
        <f t="shared" si="18"/>
        <v>0</v>
      </c>
      <c r="CD39" s="38">
        <f t="shared" si="19"/>
        <v>0</v>
      </c>
      <c r="CE39" s="38">
        <f t="shared" si="20"/>
        <v>0</v>
      </c>
      <c r="CF39" s="38">
        <f t="shared" si="21"/>
        <v>0</v>
      </c>
      <c r="CG39" s="38">
        <f t="shared" si="22"/>
        <v>0</v>
      </c>
    </row>
    <row r="40" spans="1:85" ht="15.5" x14ac:dyDescent="0.35">
      <c r="A40" s="43">
        <v>33</v>
      </c>
      <c r="B40" s="43"/>
      <c r="C40" s="43"/>
      <c r="D40" s="42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28">
        <f t="shared" si="1"/>
        <v>0</v>
      </c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31">
        <f t="shared" si="2"/>
        <v>0</v>
      </c>
      <c r="AW40" s="29">
        <f t="shared" si="23"/>
        <v>0</v>
      </c>
      <c r="AX40" s="29">
        <f t="shared" si="24"/>
        <v>0</v>
      </c>
      <c r="AY40" s="29">
        <f t="shared" si="25"/>
        <v>0</v>
      </c>
      <c r="AZ40" s="29">
        <f t="shared" si="26"/>
        <v>0</v>
      </c>
      <c r="BA40" s="29">
        <f t="shared" si="27"/>
        <v>0</v>
      </c>
      <c r="BB40" s="29">
        <f t="shared" si="28"/>
        <v>0</v>
      </c>
      <c r="BD40" s="30"/>
      <c r="BE40" s="30"/>
      <c r="BF40" s="30"/>
      <c r="BG40" s="5"/>
      <c r="BH40" s="5"/>
      <c r="BI40" s="5"/>
      <c r="BJ40" s="25">
        <f t="shared" si="16"/>
        <v>0</v>
      </c>
      <c r="BL40" s="5"/>
      <c r="BM40" s="5"/>
      <c r="BN40" s="5"/>
      <c r="BO40" s="5"/>
      <c r="BP40" s="5"/>
      <c r="BQ40" s="5"/>
      <c r="BR40" s="33">
        <f t="shared" si="0"/>
        <v>0</v>
      </c>
      <c r="BT40" s="36">
        <f t="shared" si="9"/>
        <v>0</v>
      </c>
      <c r="BU40" s="37">
        <f t="shared" si="10"/>
        <v>0</v>
      </c>
      <c r="BV40" s="37">
        <f t="shared" si="11"/>
        <v>0</v>
      </c>
      <c r="BW40" s="37">
        <f t="shared" si="12"/>
        <v>0</v>
      </c>
      <c r="BX40" s="37">
        <f t="shared" si="13"/>
        <v>0</v>
      </c>
      <c r="BY40" s="37">
        <f t="shared" si="14"/>
        <v>0</v>
      </c>
      <c r="BZ40" s="33">
        <f t="shared" si="15"/>
        <v>0</v>
      </c>
      <c r="CB40" s="38">
        <f t="shared" si="17"/>
        <v>0</v>
      </c>
      <c r="CC40" s="38">
        <f t="shared" si="18"/>
        <v>0</v>
      </c>
      <c r="CD40" s="38">
        <f t="shared" si="19"/>
        <v>0</v>
      </c>
      <c r="CE40" s="38">
        <f t="shared" si="20"/>
        <v>0</v>
      </c>
      <c r="CF40" s="38">
        <f t="shared" si="21"/>
        <v>0</v>
      </c>
      <c r="CG40" s="38">
        <f t="shared" si="22"/>
        <v>0</v>
      </c>
    </row>
    <row r="41" spans="1:85" ht="15.5" x14ac:dyDescent="0.35">
      <c r="A41" s="43">
        <v>34</v>
      </c>
      <c r="B41" s="43"/>
      <c r="C41" s="43"/>
      <c r="D41" s="4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28">
        <f t="shared" si="1"/>
        <v>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31">
        <f t="shared" si="2"/>
        <v>0</v>
      </c>
      <c r="AW41" s="29">
        <f t="shared" si="23"/>
        <v>0</v>
      </c>
      <c r="AX41" s="29">
        <f t="shared" si="24"/>
        <v>0</v>
      </c>
      <c r="AY41" s="29">
        <f t="shared" si="25"/>
        <v>0</v>
      </c>
      <c r="AZ41" s="29">
        <f t="shared" si="26"/>
        <v>0</v>
      </c>
      <c r="BA41" s="29">
        <f t="shared" si="27"/>
        <v>0</v>
      </c>
      <c r="BB41" s="29">
        <f t="shared" si="28"/>
        <v>0</v>
      </c>
      <c r="BD41" s="30"/>
      <c r="BE41" s="30"/>
      <c r="BF41" s="30"/>
      <c r="BG41" s="5"/>
      <c r="BH41" s="5"/>
      <c r="BI41" s="5"/>
      <c r="BJ41" s="25">
        <f t="shared" si="16"/>
        <v>0</v>
      </c>
      <c r="BL41" s="5"/>
      <c r="BM41" s="5"/>
      <c r="BN41" s="5"/>
      <c r="BO41" s="5"/>
      <c r="BP41" s="5"/>
      <c r="BQ41" s="5"/>
      <c r="BR41" s="33">
        <f t="shared" si="0"/>
        <v>0</v>
      </c>
      <c r="BT41" s="36">
        <f t="shared" si="9"/>
        <v>0</v>
      </c>
      <c r="BU41" s="37">
        <f t="shared" si="10"/>
        <v>0</v>
      </c>
      <c r="BV41" s="37">
        <f t="shared" si="11"/>
        <v>0</v>
      </c>
      <c r="BW41" s="37">
        <f t="shared" si="12"/>
        <v>0</v>
      </c>
      <c r="BX41" s="37">
        <f t="shared" si="13"/>
        <v>0</v>
      </c>
      <c r="BY41" s="37">
        <f t="shared" si="14"/>
        <v>0</v>
      </c>
      <c r="BZ41" s="33">
        <f t="shared" si="15"/>
        <v>0</v>
      </c>
      <c r="CB41" s="38">
        <f t="shared" si="17"/>
        <v>0</v>
      </c>
      <c r="CC41" s="38">
        <f t="shared" si="18"/>
        <v>0</v>
      </c>
      <c r="CD41" s="38">
        <f t="shared" si="19"/>
        <v>0</v>
      </c>
      <c r="CE41" s="38">
        <f t="shared" si="20"/>
        <v>0</v>
      </c>
      <c r="CF41" s="38">
        <f t="shared" si="21"/>
        <v>0</v>
      </c>
      <c r="CG41" s="38">
        <f t="shared" si="22"/>
        <v>0</v>
      </c>
    </row>
    <row r="42" spans="1:85" ht="15.5" x14ac:dyDescent="0.35">
      <c r="A42" s="43">
        <v>35</v>
      </c>
      <c r="B42" s="43"/>
      <c r="C42" s="43"/>
      <c r="D42" s="42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28">
        <f t="shared" si="1"/>
        <v>0</v>
      </c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31">
        <f t="shared" si="2"/>
        <v>0</v>
      </c>
      <c r="AW42" s="29">
        <f t="shared" si="23"/>
        <v>0</v>
      </c>
      <c r="AX42" s="29">
        <f t="shared" si="24"/>
        <v>0</v>
      </c>
      <c r="AY42" s="29">
        <f t="shared" si="25"/>
        <v>0</v>
      </c>
      <c r="AZ42" s="29">
        <f t="shared" si="26"/>
        <v>0</v>
      </c>
      <c r="BA42" s="29">
        <f t="shared" si="27"/>
        <v>0</v>
      </c>
      <c r="BB42" s="29">
        <f t="shared" si="28"/>
        <v>0</v>
      </c>
      <c r="BD42" s="30"/>
      <c r="BE42" s="30"/>
      <c r="BF42" s="30"/>
      <c r="BG42" s="5"/>
      <c r="BH42" s="5"/>
      <c r="BI42" s="5"/>
      <c r="BJ42" s="25">
        <f t="shared" si="16"/>
        <v>0</v>
      </c>
      <c r="BL42" s="5"/>
      <c r="BM42" s="5"/>
      <c r="BN42" s="5"/>
      <c r="BO42" s="5"/>
      <c r="BP42" s="5"/>
      <c r="BQ42" s="5"/>
      <c r="BR42" s="33">
        <f t="shared" si="0"/>
        <v>0</v>
      </c>
      <c r="BT42" s="36">
        <f t="shared" si="9"/>
        <v>0</v>
      </c>
      <c r="BU42" s="37">
        <f t="shared" si="10"/>
        <v>0</v>
      </c>
      <c r="BV42" s="37">
        <f t="shared" si="11"/>
        <v>0</v>
      </c>
      <c r="BW42" s="37">
        <f t="shared" si="12"/>
        <v>0</v>
      </c>
      <c r="BX42" s="37">
        <f t="shared" si="13"/>
        <v>0</v>
      </c>
      <c r="BY42" s="37">
        <f t="shared" si="14"/>
        <v>0</v>
      </c>
      <c r="BZ42" s="33">
        <f t="shared" si="15"/>
        <v>0</v>
      </c>
      <c r="CB42" s="38">
        <f t="shared" si="17"/>
        <v>0</v>
      </c>
      <c r="CC42" s="38">
        <f t="shared" si="18"/>
        <v>0</v>
      </c>
      <c r="CD42" s="38">
        <f t="shared" si="19"/>
        <v>0</v>
      </c>
      <c r="CE42" s="38">
        <f t="shared" si="20"/>
        <v>0</v>
      </c>
      <c r="CF42" s="38">
        <f t="shared" si="21"/>
        <v>0</v>
      </c>
      <c r="CG42" s="38">
        <f t="shared" si="22"/>
        <v>0</v>
      </c>
    </row>
    <row r="43" spans="1:85" ht="15.5" x14ac:dyDescent="0.35">
      <c r="A43" s="43">
        <v>36</v>
      </c>
      <c r="B43" s="43"/>
      <c r="C43" s="43"/>
      <c r="D43" s="4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28">
        <f t="shared" si="1"/>
        <v>0</v>
      </c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31">
        <f t="shared" si="2"/>
        <v>0</v>
      </c>
      <c r="AW43" s="29">
        <f t="shared" si="23"/>
        <v>0</v>
      </c>
      <c r="AX43" s="29">
        <f t="shared" si="24"/>
        <v>0</v>
      </c>
      <c r="AY43" s="29">
        <f t="shared" si="25"/>
        <v>0</v>
      </c>
      <c r="AZ43" s="29">
        <f t="shared" si="26"/>
        <v>0</v>
      </c>
      <c r="BA43" s="29">
        <f t="shared" si="27"/>
        <v>0</v>
      </c>
      <c r="BB43" s="29">
        <f t="shared" si="28"/>
        <v>0</v>
      </c>
      <c r="BD43" s="30"/>
      <c r="BE43" s="30"/>
      <c r="BF43" s="30"/>
      <c r="BG43" s="5"/>
      <c r="BH43" s="5"/>
      <c r="BI43" s="5"/>
      <c r="BJ43" s="25">
        <f t="shared" si="16"/>
        <v>0</v>
      </c>
      <c r="BL43" s="5"/>
      <c r="BM43" s="5"/>
      <c r="BN43" s="5"/>
      <c r="BO43" s="5"/>
      <c r="BP43" s="5"/>
      <c r="BQ43" s="5"/>
      <c r="BR43" s="33">
        <f t="shared" si="0"/>
        <v>0</v>
      </c>
      <c r="BT43" s="36">
        <f t="shared" si="9"/>
        <v>0</v>
      </c>
      <c r="BU43" s="37">
        <f t="shared" si="10"/>
        <v>0</v>
      </c>
      <c r="BV43" s="37">
        <f t="shared" si="11"/>
        <v>0</v>
      </c>
      <c r="BW43" s="37">
        <f t="shared" si="12"/>
        <v>0</v>
      </c>
      <c r="BX43" s="37">
        <f t="shared" si="13"/>
        <v>0</v>
      </c>
      <c r="BY43" s="37">
        <f t="shared" si="14"/>
        <v>0</v>
      </c>
      <c r="BZ43" s="33">
        <f t="shared" si="15"/>
        <v>0</v>
      </c>
      <c r="CB43" s="38">
        <f t="shared" si="17"/>
        <v>0</v>
      </c>
      <c r="CC43" s="38">
        <f t="shared" si="18"/>
        <v>0</v>
      </c>
      <c r="CD43" s="38">
        <f t="shared" si="19"/>
        <v>0</v>
      </c>
      <c r="CE43" s="38">
        <f t="shared" si="20"/>
        <v>0</v>
      </c>
      <c r="CF43" s="38">
        <f t="shared" si="21"/>
        <v>0</v>
      </c>
      <c r="CG43" s="38">
        <f t="shared" si="22"/>
        <v>0</v>
      </c>
    </row>
    <row r="44" spans="1:85" ht="15.5" x14ac:dyDescent="0.35">
      <c r="A44" s="43">
        <v>37</v>
      </c>
      <c r="B44" s="43"/>
      <c r="C44" s="43"/>
      <c r="D44" s="4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28">
        <f t="shared" si="1"/>
        <v>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31">
        <f t="shared" si="2"/>
        <v>0</v>
      </c>
      <c r="AW44" s="29">
        <f t="shared" si="23"/>
        <v>0</v>
      </c>
      <c r="AX44" s="29">
        <f t="shared" si="24"/>
        <v>0</v>
      </c>
      <c r="AY44" s="29">
        <f t="shared" si="25"/>
        <v>0</v>
      </c>
      <c r="AZ44" s="29">
        <f t="shared" si="26"/>
        <v>0</v>
      </c>
      <c r="BA44" s="29">
        <f t="shared" si="27"/>
        <v>0</v>
      </c>
      <c r="BB44" s="29">
        <f t="shared" si="28"/>
        <v>0</v>
      </c>
      <c r="BD44" s="30"/>
      <c r="BE44" s="30"/>
      <c r="BF44" s="30"/>
      <c r="BG44" s="5"/>
      <c r="BH44" s="5"/>
      <c r="BI44" s="5"/>
      <c r="BJ44" s="25">
        <f t="shared" si="16"/>
        <v>0</v>
      </c>
      <c r="BL44" s="5"/>
      <c r="BM44" s="5"/>
      <c r="BN44" s="5"/>
      <c r="BO44" s="5"/>
      <c r="BP44" s="5"/>
      <c r="BQ44" s="5"/>
      <c r="BR44" s="33">
        <f t="shared" si="0"/>
        <v>0</v>
      </c>
      <c r="BT44" s="36">
        <f t="shared" si="9"/>
        <v>0</v>
      </c>
      <c r="BU44" s="37">
        <f t="shared" si="10"/>
        <v>0</v>
      </c>
      <c r="BV44" s="37">
        <f t="shared" si="11"/>
        <v>0</v>
      </c>
      <c r="BW44" s="37">
        <f t="shared" si="12"/>
        <v>0</v>
      </c>
      <c r="BX44" s="37">
        <f t="shared" si="13"/>
        <v>0</v>
      </c>
      <c r="BY44" s="37">
        <f t="shared" si="14"/>
        <v>0</v>
      </c>
      <c r="BZ44" s="33">
        <f t="shared" si="15"/>
        <v>0</v>
      </c>
      <c r="CB44" s="38">
        <f t="shared" si="17"/>
        <v>0</v>
      </c>
      <c r="CC44" s="38">
        <f t="shared" si="18"/>
        <v>0</v>
      </c>
      <c r="CD44" s="38">
        <f t="shared" si="19"/>
        <v>0</v>
      </c>
      <c r="CE44" s="38">
        <f t="shared" si="20"/>
        <v>0</v>
      </c>
      <c r="CF44" s="38">
        <f t="shared" si="21"/>
        <v>0</v>
      </c>
      <c r="CG44" s="38">
        <f t="shared" si="22"/>
        <v>0</v>
      </c>
    </row>
    <row r="45" spans="1:85" ht="15.5" x14ac:dyDescent="0.35">
      <c r="A45" s="43">
        <v>38</v>
      </c>
      <c r="B45" s="43"/>
      <c r="C45" s="43"/>
      <c r="D45" s="4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28">
        <f t="shared" si="1"/>
        <v>0</v>
      </c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31">
        <f t="shared" si="2"/>
        <v>0</v>
      </c>
      <c r="AW45" s="29">
        <f t="shared" si="23"/>
        <v>0</v>
      </c>
      <c r="AX45" s="29">
        <f t="shared" si="24"/>
        <v>0</v>
      </c>
      <c r="AY45" s="29">
        <f t="shared" si="25"/>
        <v>0</v>
      </c>
      <c r="AZ45" s="29">
        <f t="shared" si="26"/>
        <v>0</v>
      </c>
      <c r="BA45" s="29">
        <f t="shared" si="27"/>
        <v>0</v>
      </c>
      <c r="BB45" s="29">
        <f t="shared" si="28"/>
        <v>0</v>
      </c>
      <c r="BD45" s="30"/>
      <c r="BE45" s="30"/>
      <c r="BF45" s="30"/>
      <c r="BG45" s="5"/>
      <c r="BH45" s="5"/>
      <c r="BI45" s="5"/>
      <c r="BJ45" s="25">
        <f t="shared" si="16"/>
        <v>0</v>
      </c>
      <c r="BL45" s="5"/>
      <c r="BM45" s="5"/>
      <c r="BN45" s="5"/>
      <c r="BO45" s="5"/>
      <c r="BP45" s="5"/>
      <c r="BQ45" s="5"/>
      <c r="BR45" s="33">
        <f t="shared" si="0"/>
        <v>0</v>
      </c>
      <c r="BT45" s="36">
        <f t="shared" si="9"/>
        <v>0</v>
      </c>
      <c r="BU45" s="37">
        <f t="shared" si="10"/>
        <v>0</v>
      </c>
      <c r="BV45" s="37">
        <f t="shared" si="11"/>
        <v>0</v>
      </c>
      <c r="BW45" s="37">
        <f t="shared" si="12"/>
        <v>0</v>
      </c>
      <c r="BX45" s="37">
        <f t="shared" si="13"/>
        <v>0</v>
      </c>
      <c r="BY45" s="37">
        <f t="shared" si="14"/>
        <v>0</v>
      </c>
      <c r="BZ45" s="33">
        <f t="shared" si="15"/>
        <v>0</v>
      </c>
      <c r="CB45" s="38">
        <f t="shared" si="17"/>
        <v>0</v>
      </c>
      <c r="CC45" s="38">
        <f t="shared" si="18"/>
        <v>0</v>
      </c>
      <c r="CD45" s="38">
        <f t="shared" si="19"/>
        <v>0</v>
      </c>
      <c r="CE45" s="38">
        <f t="shared" si="20"/>
        <v>0</v>
      </c>
      <c r="CF45" s="38">
        <f t="shared" si="21"/>
        <v>0</v>
      </c>
      <c r="CG45" s="38">
        <f t="shared" si="22"/>
        <v>0</v>
      </c>
    </row>
    <row r="46" spans="1:85" ht="15.5" x14ac:dyDescent="0.35">
      <c r="A46" s="43">
        <v>39</v>
      </c>
      <c r="B46" s="43"/>
      <c r="C46" s="43"/>
      <c r="D46" s="42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28">
        <f t="shared" si="1"/>
        <v>0</v>
      </c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31">
        <f t="shared" si="2"/>
        <v>0</v>
      </c>
      <c r="AW46" s="29">
        <f t="shared" si="23"/>
        <v>0</v>
      </c>
      <c r="AX46" s="29">
        <f t="shared" si="24"/>
        <v>0</v>
      </c>
      <c r="AY46" s="29">
        <f t="shared" si="25"/>
        <v>0</v>
      </c>
      <c r="AZ46" s="29">
        <f t="shared" si="26"/>
        <v>0</v>
      </c>
      <c r="BA46" s="29">
        <f t="shared" si="27"/>
        <v>0</v>
      </c>
      <c r="BB46" s="29">
        <f t="shared" si="28"/>
        <v>0</v>
      </c>
      <c r="BD46" s="30"/>
      <c r="BE46" s="30"/>
      <c r="BF46" s="30"/>
      <c r="BG46" s="5"/>
      <c r="BH46" s="5"/>
      <c r="BI46" s="5"/>
      <c r="BJ46" s="25">
        <f t="shared" si="16"/>
        <v>0</v>
      </c>
      <c r="BL46" s="5"/>
      <c r="BM46" s="5"/>
      <c r="BN46" s="5"/>
      <c r="BO46" s="5"/>
      <c r="BP46" s="5"/>
      <c r="BQ46" s="5"/>
      <c r="BR46" s="33">
        <f t="shared" si="0"/>
        <v>0</v>
      </c>
      <c r="BT46" s="36">
        <f t="shared" si="9"/>
        <v>0</v>
      </c>
      <c r="BU46" s="37">
        <f t="shared" si="10"/>
        <v>0</v>
      </c>
      <c r="BV46" s="37">
        <f t="shared" si="11"/>
        <v>0</v>
      </c>
      <c r="BW46" s="37">
        <f t="shared" si="12"/>
        <v>0</v>
      </c>
      <c r="BX46" s="37">
        <f t="shared" si="13"/>
        <v>0</v>
      </c>
      <c r="BY46" s="37">
        <f t="shared" si="14"/>
        <v>0</v>
      </c>
      <c r="BZ46" s="33">
        <f t="shared" si="15"/>
        <v>0</v>
      </c>
      <c r="CB46" s="38">
        <f t="shared" si="17"/>
        <v>0</v>
      </c>
      <c r="CC46" s="38">
        <f t="shared" si="18"/>
        <v>0</v>
      </c>
      <c r="CD46" s="38">
        <f t="shared" si="19"/>
        <v>0</v>
      </c>
      <c r="CE46" s="38">
        <f t="shared" si="20"/>
        <v>0</v>
      </c>
      <c r="CF46" s="38">
        <f t="shared" si="21"/>
        <v>0</v>
      </c>
      <c r="CG46" s="38">
        <f t="shared" si="22"/>
        <v>0</v>
      </c>
    </row>
    <row r="47" spans="1:85" ht="15.5" x14ac:dyDescent="0.35">
      <c r="A47" s="43">
        <v>40</v>
      </c>
      <c r="B47" s="43"/>
      <c r="C47" s="43"/>
      <c r="D47" s="4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28">
        <f t="shared" si="1"/>
        <v>0</v>
      </c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31">
        <f t="shared" si="2"/>
        <v>0</v>
      </c>
      <c r="AW47" s="29">
        <f t="shared" si="23"/>
        <v>0</v>
      </c>
      <c r="AX47" s="29">
        <f t="shared" si="24"/>
        <v>0</v>
      </c>
      <c r="AY47" s="29">
        <f t="shared" si="25"/>
        <v>0</v>
      </c>
      <c r="AZ47" s="29">
        <f t="shared" si="26"/>
        <v>0</v>
      </c>
      <c r="BA47" s="29">
        <f t="shared" si="27"/>
        <v>0</v>
      </c>
      <c r="BB47" s="29">
        <f t="shared" si="28"/>
        <v>0</v>
      </c>
      <c r="BD47" s="30"/>
      <c r="BE47" s="30"/>
      <c r="BF47" s="30"/>
      <c r="BG47" s="5"/>
      <c r="BH47" s="5"/>
      <c r="BI47" s="5"/>
      <c r="BJ47" s="25">
        <f t="shared" si="16"/>
        <v>0</v>
      </c>
      <c r="BL47" s="5"/>
      <c r="BM47" s="5"/>
      <c r="BN47" s="5"/>
      <c r="BO47" s="5"/>
      <c r="BP47" s="5"/>
      <c r="BQ47" s="5"/>
      <c r="BR47" s="33">
        <f t="shared" si="0"/>
        <v>0</v>
      </c>
      <c r="BT47" s="36">
        <f t="shared" si="9"/>
        <v>0</v>
      </c>
      <c r="BU47" s="37">
        <f t="shared" si="10"/>
        <v>0</v>
      </c>
      <c r="BV47" s="37">
        <f t="shared" si="11"/>
        <v>0</v>
      </c>
      <c r="BW47" s="37">
        <f t="shared" si="12"/>
        <v>0</v>
      </c>
      <c r="BX47" s="37">
        <f t="shared" si="13"/>
        <v>0</v>
      </c>
      <c r="BY47" s="37">
        <f t="shared" si="14"/>
        <v>0</v>
      </c>
      <c r="BZ47" s="33">
        <f t="shared" si="15"/>
        <v>0</v>
      </c>
      <c r="CB47" s="38">
        <f t="shared" si="17"/>
        <v>0</v>
      </c>
      <c r="CC47" s="38">
        <f t="shared" si="18"/>
        <v>0</v>
      </c>
      <c r="CD47" s="38">
        <f t="shared" si="19"/>
        <v>0</v>
      </c>
      <c r="CE47" s="38">
        <f t="shared" si="20"/>
        <v>0</v>
      </c>
      <c r="CF47" s="38">
        <f t="shared" si="21"/>
        <v>0</v>
      </c>
      <c r="CG47" s="38">
        <f t="shared" si="22"/>
        <v>0</v>
      </c>
    </row>
    <row r="48" spans="1:85" ht="15.5" x14ac:dyDescent="0.35">
      <c r="A48" s="43">
        <v>41</v>
      </c>
      <c r="B48" s="43"/>
      <c r="C48" s="43"/>
      <c r="D48" s="42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28">
        <f t="shared" si="1"/>
        <v>0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31">
        <f t="shared" si="2"/>
        <v>0</v>
      </c>
      <c r="AW48" s="29">
        <f t="shared" si="23"/>
        <v>0</v>
      </c>
      <c r="AX48" s="29">
        <f t="shared" si="24"/>
        <v>0</v>
      </c>
      <c r="AY48" s="29">
        <f t="shared" si="25"/>
        <v>0</v>
      </c>
      <c r="AZ48" s="29">
        <f t="shared" si="26"/>
        <v>0</v>
      </c>
      <c r="BA48" s="29">
        <f t="shared" si="27"/>
        <v>0</v>
      </c>
      <c r="BB48" s="29">
        <f t="shared" si="28"/>
        <v>0</v>
      </c>
      <c r="BD48" s="30"/>
      <c r="BE48" s="30"/>
      <c r="BF48" s="30"/>
      <c r="BG48" s="5"/>
      <c r="BH48" s="5"/>
      <c r="BI48" s="5"/>
      <c r="BJ48" s="25">
        <f t="shared" si="16"/>
        <v>0</v>
      </c>
      <c r="BL48" s="5"/>
      <c r="BM48" s="5"/>
      <c r="BN48" s="5"/>
      <c r="BO48" s="5"/>
      <c r="BP48" s="5"/>
      <c r="BQ48" s="5"/>
      <c r="BR48" s="33">
        <f t="shared" si="0"/>
        <v>0</v>
      </c>
      <c r="BT48" s="36">
        <f t="shared" si="9"/>
        <v>0</v>
      </c>
      <c r="BU48" s="37">
        <f t="shared" si="10"/>
        <v>0</v>
      </c>
      <c r="BV48" s="37">
        <f t="shared" si="11"/>
        <v>0</v>
      </c>
      <c r="BW48" s="37">
        <f t="shared" si="12"/>
        <v>0</v>
      </c>
      <c r="BX48" s="37">
        <f t="shared" si="13"/>
        <v>0</v>
      </c>
      <c r="BY48" s="37">
        <f t="shared" si="14"/>
        <v>0</v>
      </c>
      <c r="BZ48" s="33">
        <f t="shared" si="15"/>
        <v>0</v>
      </c>
      <c r="CB48" s="38">
        <f t="shared" si="17"/>
        <v>0</v>
      </c>
      <c r="CC48" s="38">
        <f t="shared" si="18"/>
        <v>0</v>
      </c>
      <c r="CD48" s="38">
        <f t="shared" si="19"/>
        <v>0</v>
      </c>
      <c r="CE48" s="38">
        <f t="shared" si="20"/>
        <v>0</v>
      </c>
      <c r="CF48" s="38">
        <f t="shared" si="21"/>
        <v>0</v>
      </c>
      <c r="CG48" s="38">
        <f t="shared" si="22"/>
        <v>0</v>
      </c>
    </row>
    <row r="49" spans="1:85" ht="15.5" x14ac:dyDescent="0.35">
      <c r="A49" s="43">
        <v>42</v>
      </c>
      <c r="B49" s="43"/>
      <c r="C49" s="43"/>
      <c r="D49" s="42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28">
        <f t="shared" si="1"/>
        <v>0</v>
      </c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31">
        <f t="shared" si="2"/>
        <v>0</v>
      </c>
      <c r="AW49" s="29">
        <f t="shared" si="23"/>
        <v>0</v>
      </c>
      <c r="AX49" s="29">
        <f t="shared" si="24"/>
        <v>0</v>
      </c>
      <c r="AY49" s="29">
        <f t="shared" si="25"/>
        <v>0</v>
      </c>
      <c r="AZ49" s="29">
        <f t="shared" si="26"/>
        <v>0</v>
      </c>
      <c r="BA49" s="29">
        <f t="shared" si="27"/>
        <v>0</v>
      </c>
      <c r="BB49" s="29">
        <f t="shared" si="28"/>
        <v>0</v>
      </c>
      <c r="BD49" s="30"/>
      <c r="BE49" s="30"/>
      <c r="BF49" s="30"/>
      <c r="BG49" s="5"/>
      <c r="BH49" s="5"/>
      <c r="BI49" s="5"/>
      <c r="BJ49" s="25">
        <f t="shared" si="16"/>
        <v>0</v>
      </c>
      <c r="BL49" s="5"/>
      <c r="BM49" s="5"/>
      <c r="BN49" s="5"/>
      <c r="BO49" s="5"/>
      <c r="BP49" s="5"/>
      <c r="BQ49" s="5"/>
      <c r="BR49" s="33">
        <f t="shared" si="0"/>
        <v>0</v>
      </c>
      <c r="BT49" s="36">
        <f t="shared" si="9"/>
        <v>0</v>
      </c>
      <c r="BU49" s="37">
        <f t="shared" si="10"/>
        <v>0</v>
      </c>
      <c r="BV49" s="37">
        <f t="shared" si="11"/>
        <v>0</v>
      </c>
      <c r="BW49" s="37">
        <f t="shared" si="12"/>
        <v>0</v>
      </c>
      <c r="BX49" s="37">
        <f t="shared" si="13"/>
        <v>0</v>
      </c>
      <c r="BY49" s="37">
        <f t="shared" si="14"/>
        <v>0</v>
      </c>
      <c r="BZ49" s="33">
        <f t="shared" si="15"/>
        <v>0</v>
      </c>
      <c r="CB49" s="38">
        <f t="shared" si="17"/>
        <v>0</v>
      </c>
      <c r="CC49" s="38">
        <f t="shared" si="18"/>
        <v>0</v>
      </c>
      <c r="CD49" s="38">
        <f t="shared" si="19"/>
        <v>0</v>
      </c>
      <c r="CE49" s="38">
        <f t="shared" si="20"/>
        <v>0</v>
      </c>
      <c r="CF49" s="38">
        <f t="shared" si="21"/>
        <v>0</v>
      </c>
      <c r="CG49" s="38">
        <f t="shared" si="22"/>
        <v>0</v>
      </c>
    </row>
    <row r="50" spans="1:85" ht="15.5" x14ac:dyDescent="0.35">
      <c r="A50" s="43">
        <v>43</v>
      </c>
      <c r="B50" s="43"/>
      <c r="C50" s="43"/>
      <c r="D50" s="42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28">
        <f t="shared" si="1"/>
        <v>0</v>
      </c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31">
        <f t="shared" si="2"/>
        <v>0</v>
      </c>
      <c r="AW50" s="29">
        <f t="shared" si="23"/>
        <v>0</v>
      </c>
      <c r="AX50" s="29">
        <f t="shared" si="24"/>
        <v>0</v>
      </c>
      <c r="AY50" s="29">
        <f t="shared" si="25"/>
        <v>0</v>
      </c>
      <c r="AZ50" s="29">
        <f t="shared" si="26"/>
        <v>0</v>
      </c>
      <c r="BA50" s="29">
        <f t="shared" si="27"/>
        <v>0</v>
      </c>
      <c r="BB50" s="29">
        <f t="shared" si="28"/>
        <v>0</v>
      </c>
      <c r="BD50" s="30"/>
      <c r="BE50" s="30"/>
      <c r="BF50" s="30"/>
      <c r="BG50" s="5"/>
      <c r="BH50" s="5"/>
      <c r="BI50" s="5"/>
      <c r="BJ50" s="25">
        <f t="shared" si="16"/>
        <v>0</v>
      </c>
      <c r="BL50" s="5"/>
      <c r="BM50" s="5"/>
      <c r="BN50" s="5"/>
      <c r="BO50" s="5"/>
      <c r="BP50" s="5"/>
      <c r="BQ50" s="5"/>
      <c r="BR50" s="33">
        <f t="shared" si="0"/>
        <v>0</v>
      </c>
      <c r="BT50" s="36">
        <f t="shared" si="9"/>
        <v>0</v>
      </c>
      <c r="BU50" s="37">
        <f t="shared" si="10"/>
        <v>0</v>
      </c>
      <c r="BV50" s="37">
        <f t="shared" si="11"/>
        <v>0</v>
      </c>
      <c r="BW50" s="37">
        <f t="shared" si="12"/>
        <v>0</v>
      </c>
      <c r="BX50" s="37">
        <f t="shared" si="13"/>
        <v>0</v>
      </c>
      <c r="BY50" s="37">
        <f t="shared" si="14"/>
        <v>0</v>
      </c>
      <c r="BZ50" s="33">
        <f t="shared" si="15"/>
        <v>0</v>
      </c>
      <c r="CB50" s="38">
        <f t="shared" si="17"/>
        <v>0</v>
      </c>
      <c r="CC50" s="38">
        <f t="shared" si="18"/>
        <v>0</v>
      </c>
      <c r="CD50" s="38">
        <f t="shared" si="19"/>
        <v>0</v>
      </c>
      <c r="CE50" s="38">
        <f t="shared" si="20"/>
        <v>0</v>
      </c>
      <c r="CF50" s="38">
        <f t="shared" si="21"/>
        <v>0</v>
      </c>
      <c r="CG50" s="38">
        <f t="shared" si="22"/>
        <v>0</v>
      </c>
    </row>
    <row r="51" spans="1:85" ht="15.5" x14ac:dyDescent="0.35">
      <c r="A51" s="43">
        <v>44</v>
      </c>
      <c r="B51" s="43"/>
      <c r="C51" s="43"/>
      <c r="D51" s="42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28">
        <f t="shared" si="1"/>
        <v>0</v>
      </c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31">
        <f t="shared" si="2"/>
        <v>0</v>
      </c>
      <c r="AW51" s="29">
        <f t="shared" si="23"/>
        <v>0</v>
      </c>
      <c r="AX51" s="29">
        <f t="shared" si="24"/>
        <v>0</v>
      </c>
      <c r="AY51" s="29">
        <f t="shared" si="25"/>
        <v>0</v>
      </c>
      <c r="AZ51" s="29">
        <f t="shared" si="26"/>
        <v>0</v>
      </c>
      <c r="BA51" s="29">
        <f t="shared" si="27"/>
        <v>0</v>
      </c>
      <c r="BB51" s="29">
        <f t="shared" si="28"/>
        <v>0</v>
      </c>
      <c r="BD51" s="30"/>
      <c r="BE51" s="30"/>
      <c r="BF51" s="30"/>
      <c r="BG51" s="5"/>
      <c r="BH51" s="5"/>
      <c r="BI51" s="5"/>
      <c r="BJ51" s="25">
        <f t="shared" si="16"/>
        <v>0</v>
      </c>
      <c r="BL51" s="5"/>
      <c r="BM51" s="5"/>
      <c r="BN51" s="5"/>
      <c r="BO51" s="5"/>
      <c r="BP51" s="5"/>
      <c r="BQ51" s="5"/>
      <c r="BR51" s="33">
        <f t="shared" si="0"/>
        <v>0</v>
      </c>
      <c r="BT51" s="36">
        <f t="shared" si="9"/>
        <v>0</v>
      </c>
      <c r="BU51" s="37">
        <f t="shared" si="10"/>
        <v>0</v>
      </c>
      <c r="BV51" s="37">
        <f t="shared" si="11"/>
        <v>0</v>
      </c>
      <c r="BW51" s="37">
        <f t="shared" si="12"/>
        <v>0</v>
      </c>
      <c r="BX51" s="37">
        <f t="shared" si="13"/>
        <v>0</v>
      </c>
      <c r="BY51" s="37">
        <f t="shared" si="14"/>
        <v>0</v>
      </c>
      <c r="BZ51" s="33">
        <f t="shared" si="15"/>
        <v>0</v>
      </c>
      <c r="CB51" s="38">
        <f t="shared" si="17"/>
        <v>0</v>
      </c>
      <c r="CC51" s="38">
        <f t="shared" si="18"/>
        <v>0</v>
      </c>
      <c r="CD51" s="38">
        <f t="shared" si="19"/>
        <v>0</v>
      </c>
      <c r="CE51" s="38">
        <f t="shared" si="20"/>
        <v>0</v>
      </c>
      <c r="CF51" s="38">
        <f t="shared" si="21"/>
        <v>0</v>
      </c>
      <c r="CG51" s="38">
        <f t="shared" si="22"/>
        <v>0</v>
      </c>
    </row>
    <row r="52" spans="1:85" ht="15.5" x14ac:dyDescent="0.35">
      <c r="A52" s="43">
        <v>45</v>
      </c>
      <c r="B52" s="43"/>
      <c r="C52" s="43"/>
      <c r="D52" s="42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28">
        <f t="shared" si="1"/>
        <v>0</v>
      </c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31">
        <f t="shared" si="2"/>
        <v>0</v>
      </c>
      <c r="AW52" s="29">
        <f t="shared" si="23"/>
        <v>0</v>
      </c>
      <c r="AX52" s="29">
        <f t="shared" si="24"/>
        <v>0</v>
      </c>
      <c r="AY52" s="29">
        <f t="shared" si="25"/>
        <v>0</v>
      </c>
      <c r="AZ52" s="29">
        <f t="shared" si="26"/>
        <v>0</v>
      </c>
      <c r="BA52" s="29">
        <f t="shared" si="27"/>
        <v>0</v>
      </c>
      <c r="BB52" s="29">
        <f t="shared" si="28"/>
        <v>0</v>
      </c>
      <c r="BD52" s="30"/>
      <c r="BE52" s="30"/>
      <c r="BF52" s="30"/>
      <c r="BG52" s="5"/>
      <c r="BH52" s="5"/>
      <c r="BI52" s="5"/>
      <c r="BJ52" s="25">
        <f t="shared" si="16"/>
        <v>0</v>
      </c>
      <c r="BL52" s="5"/>
      <c r="BM52" s="5"/>
      <c r="BN52" s="5"/>
      <c r="BO52" s="5"/>
      <c r="BP52" s="5"/>
      <c r="BQ52" s="5"/>
      <c r="BR52" s="33">
        <f t="shared" si="0"/>
        <v>0</v>
      </c>
      <c r="BT52" s="36">
        <f t="shared" si="9"/>
        <v>0</v>
      </c>
      <c r="BU52" s="37">
        <f t="shared" si="10"/>
        <v>0</v>
      </c>
      <c r="BV52" s="37">
        <f t="shared" si="11"/>
        <v>0</v>
      </c>
      <c r="BW52" s="37">
        <f t="shared" si="12"/>
        <v>0</v>
      </c>
      <c r="BX52" s="37">
        <f t="shared" si="13"/>
        <v>0</v>
      </c>
      <c r="BY52" s="37">
        <f t="shared" si="14"/>
        <v>0</v>
      </c>
      <c r="BZ52" s="33">
        <f t="shared" si="15"/>
        <v>0</v>
      </c>
      <c r="CB52" s="38">
        <f t="shared" si="17"/>
        <v>0</v>
      </c>
      <c r="CC52" s="38">
        <f t="shared" si="18"/>
        <v>0</v>
      </c>
      <c r="CD52" s="38">
        <f t="shared" si="19"/>
        <v>0</v>
      </c>
      <c r="CE52" s="38">
        <f t="shared" si="20"/>
        <v>0</v>
      </c>
      <c r="CF52" s="38">
        <f t="shared" si="21"/>
        <v>0</v>
      </c>
      <c r="CG52" s="38">
        <f t="shared" si="22"/>
        <v>0</v>
      </c>
    </row>
    <row r="53" spans="1:85" ht="15.5" x14ac:dyDescent="0.35">
      <c r="A53" s="43">
        <v>46</v>
      </c>
      <c r="B53" s="43"/>
      <c r="C53" s="43"/>
      <c r="D53" s="42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28">
        <f t="shared" si="1"/>
        <v>0</v>
      </c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31">
        <f t="shared" si="2"/>
        <v>0</v>
      </c>
      <c r="AW53" s="29">
        <f t="shared" si="23"/>
        <v>0</v>
      </c>
      <c r="AX53" s="29">
        <f t="shared" si="24"/>
        <v>0</v>
      </c>
      <c r="AY53" s="29">
        <f t="shared" si="25"/>
        <v>0</v>
      </c>
      <c r="AZ53" s="29">
        <f t="shared" si="26"/>
        <v>0</v>
      </c>
      <c r="BA53" s="29">
        <f t="shared" si="27"/>
        <v>0</v>
      </c>
      <c r="BB53" s="29">
        <f t="shared" si="28"/>
        <v>0</v>
      </c>
      <c r="BD53" s="30"/>
      <c r="BE53" s="30"/>
      <c r="BF53" s="30"/>
      <c r="BG53" s="5"/>
      <c r="BH53" s="5"/>
      <c r="BI53" s="5"/>
      <c r="BJ53" s="25">
        <f t="shared" si="16"/>
        <v>0</v>
      </c>
      <c r="BL53" s="5"/>
      <c r="BM53" s="5"/>
      <c r="BN53" s="5"/>
      <c r="BO53" s="5"/>
      <c r="BP53" s="5"/>
      <c r="BQ53" s="5"/>
      <c r="BR53" s="33">
        <f t="shared" si="0"/>
        <v>0</v>
      </c>
      <c r="BT53" s="36">
        <f t="shared" si="9"/>
        <v>0</v>
      </c>
      <c r="BU53" s="37">
        <f t="shared" si="10"/>
        <v>0</v>
      </c>
      <c r="BV53" s="37">
        <f t="shared" si="11"/>
        <v>0</v>
      </c>
      <c r="BW53" s="37">
        <f t="shared" si="12"/>
        <v>0</v>
      </c>
      <c r="BX53" s="37">
        <f t="shared" si="13"/>
        <v>0</v>
      </c>
      <c r="BY53" s="37">
        <f t="shared" si="14"/>
        <v>0</v>
      </c>
      <c r="BZ53" s="33">
        <f t="shared" si="15"/>
        <v>0</v>
      </c>
      <c r="CB53" s="38">
        <f t="shared" si="17"/>
        <v>0</v>
      </c>
      <c r="CC53" s="38">
        <f t="shared" si="18"/>
        <v>0</v>
      </c>
      <c r="CD53" s="38">
        <f t="shared" si="19"/>
        <v>0</v>
      </c>
      <c r="CE53" s="38">
        <f t="shared" si="20"/>
        <v>0</v>
      </c>
      <c r="CF53" s="38">
        <f t="shared" si="21"/>
        <v>0</v>
      </c>
      <c r="CG53" s="38">
        <f t="shared" si="22"/>
        <v>0</v>
      </c>
    </row>
    <row r="54" spans="1:85" ht="15.5" x14ac:dyDescent="0.35">
      <c r="A54" s="43">
        <v>47</v>
      </c>
      <c r="B54" s="43"/>
      <c r="C54" s="43"/>
      <c r="D54" s="42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28">
        <f t="shared" si="1"/>
        <v>0</v>
      </c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31">
        <f t="shared" si="2"/>
        <v>0</v>
      </c>
      <c r="AW54" s="29">
        <f t="shared" si="23"/>
        <v>0</v>
      </c>
      <c r="AX54" s="29">
        <f t="shared" si="24"/>
        <v>0</v>
      </c>
      <c r="AY54" s="29">
        <f t="shared" si="25"/>
        <v>0</v>
      </c>
      <c r="AZ54" s="29">
        <f t="shared" si="26"/>
        <v>0</v>
      </c>
      <c r="BA54" s="29">
        <f t="shared" si="27"/>
        <v>0</v>
      </c>
      <c r="BB54" s="29">
        <f t="shared" si="28"/>
        <v>0</v>
      </c>
      <c r="BD54" s="30"/>
      <c r="BE54" s="30"/>
      <c r="BF54" s="30"/>
      <c r="BG54" s="5"/>
      <c r="BH54" s="5"/>
      <c r="BI54" s="5"/>
      <c r="BJ54" s="25">
        <f t="shared" si="16"/>
        <v>0</v>
      </c>
      <c r="BL54" s="5"/>
      <c r="BM54" s="5"/>
      <c r="BN54" s="5"/>
      <c r="BO54" s="5"/>
      <c r="BP54" s="5"/>
      <c r="BQ54" s="5"/>
      <c r="BR54" s="33">
        <f t="shared" si="0"/>
        <v>0</v>
      </c>
      <c r="BT54" s="36">
        <f t="shared" si="9"/>
        <v>0</v>
      </c>
      <c r="BU54" s="37">
        <f t="shared" si="10"/>
        <v>0</v>
      </c>
      <c r="BV54" s="37">
        <f t="shared" si="11"/>
        <v>0</v>
      </c>
      <c r="BW54" s="37">
        <f t="shared" si="12"/>
        <v>0</v>
      </c>
      <c r="BX54" s="37">
        <f t="shared" si="13"/>
        <v>0</v>
      </c>
      <c r="BY54" s="37">
        <f t="shared" si="14"/>
        <v>0</v>
      </c>
      <c r="BZ54" s="33">
        <f t="shared" si="15"/>
        <v>0</v>
      </c>
      <c r="CB54" s="38">
        <f t="shared" si="17"/>
        <v>0</v>
      </c>
      <c r="CC54" s="38">
        <f t="shared" si="18"/>
        <v>0</v>
      </c>
      <c r="CD54" s="38">
        <f t="shared" si="19"/>
        <v>0</v>
      </c>
      <c r="CE54" s="38">
        <f t="shared" si="20"/>
        <v>0</v>
      </c>
      <c r="CF54" s="38">
        <f t="shared" si="21"/>
        <v>0</v>
      </c>
      <c r="CG54" s="38">
        <f t="shared" si="22"/>
        <v>0</v>
      </c>
    </row>
    <row r="55" spans="1:85" ht="15.5" x14ac:dyDescent="0.35">
      <c r="A55" s="43">
        <v>48</v>
      </c>
      <c r="B55" s="43"/>
      <c r="C55" s="43"/>
      <c r="D55" s="42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28">
        <f t="shared" si="1"/>
        <v>0</v>
      </c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31">
        <f t="shared" si="2"/>
        <v>0</v>
      </c>
      <c r="AW55" s="29">
        <f t="shared" si="23"/>
        <v>0</v>
      </c>
      <c r="AX55" s="29">
        <f t="shared" si="24"/>
        <v>0</v>
      </c>
      <c r="AY55" s="29">
        <f t="shared" si="25"/>
        <v>0</v>
      </c>
      <c r="AZ55" s="29">
        <f t="shared" si="26"/>
        <v>0</v>
      </c>
      <c r="BA55" s="29">
        <f t="shared" si="27"/>
        <v>0</v>
      </c>
      <c r="BB55" s="29">
        <f t="shared" si="28"/>
        <v>0</v>
      </c>
      <c r="BD55" s="30"/>
      <c r="BE55" s="30"/>
      <c r="BF55" s="30"/>
      <c r="BG55" s="5"/>
      <c r="BH55" s="5"/>
      <c r="BI55" s="5"/>
      <c r="BJ55" s="25">
        <f t="shared" si="16"/>
        <v>0</v>
      </c>
      <c r="BL55" s="5"/>
      <c r="BM55" s="5"/>
      <c r="BN55" s="5"/>
      <c r="BO55" s="5"/>
      <c r="BP55" s="5"/>
      <c r="BQ55" s="5"/>
      <c r="BR55" s="33">
        <f t="shared" si="0"/>
        <v>0</v>
      </c>
      <c r="BT55" s="36">
        <f t="shared" si="9"/>
        <v>0</v>
      </c>
      <c r="BU55" s="37">
        <f t="shared" si="10"/>
        <v>0</v>
      </c>
      <c r="BV55" s="37">
        <f t="shared" si="11"/>
        <v>0</v>
      </c>
      <c r="BW55" s="37">
        <f t="shared" si="12"/>
        <v>0</v>
      </c>
      <c r="BX55" s="37">
        <f t="shared" si="13"/>
        <v>0</v>
      </c>
      <c r="BY55" s="37">
        <f t="shared" si="14"/>
        <v>0</v>
      </c>
      <c r="BZ55" s="33">
        <f t="shared" si="15"/>
        <v>0</v>
      </c>
      <c r="CB55" s="38">
        <f t="shared" si="17"/>
        <v>0</v>
      </c>
      <c r="CC55" s="38">
        <f t="shared" si="18"/>
        <v>0</v>
      </c>
      <c r="CD55" s="38">
        <f t="shared" si="19"/>
        <v>0</v>
      </c>
      <c r="CE55" s="38">
        <f t="shared" si="20"/>
        <v>0</v>
      </c>
      <c r="CF55" s="38">
        <f t="shared" si="21"/>
        <v>0</v>
      </c>
      <c r="CG55" s="38">
        <f t="shared" si="22"/>
        <v>0</v>
      </c>
    </row>
    <row r="56" spans="1:85" ht="15.5" x14ac:dyDescent="0.35">
      <c r="A56" s="43">
        <v>49</v>
      </c>
      <c r="B56" s="43"/>
      <c r="C56" s="43"/>
      <c r="D56" s="42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28">
        <f t="shared" si="1"/>
        <v>0</v>
      </c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31">
        <f t="shared" si="2"/>
        <v>0</v>
      </c>
      <c r="AW56" s="29">
        <f t="shared" si="23"/>
        <v>0</v>
      </c>
      <c r="AX56" s="29">
        <f t="shared" si="24"/>
        <v>0</v>
      </c>
      <c r="AY56" s="29">
        <f t="shared" si="25"/>
        <v>0</v>
      </c>
      <c r="AZ56" s="29">
        <f t="shared" si="26"/>
        <v>0</v>
      </c>
      <c r="BA56" s="29">
        <f t="shared" si="27"/>
        <v>0</v>
      </c>
      <c r="BB56" s="29">
        <f t="shared" si="28"/>
        <v>0</v>
      </c>
      <c r="BD56" s="30"/>
      <c r="BE56" s="30"/>
      <c r="BF56" s="30"/>
      <c r="BG56" s="5"/>
      <c r="BH56" s="5"/>
      <c r="BI56" s="5"/>
      <c r="BJ56" s="25">
        <f t="shared" si="16"/>
        <v>0</v>
      </c>
      <c r="BL56" s="5"/>
      <c r="BM56" s="5"/>
      <c r="BN56" s="5"/>
      <c r="BO56" s="5"/>
      <c r="BP56" s="5"/>
      <c r="BQ56" s="5"/>
      <c r="BR56" s="33">
        <f t="shared" si="0"/>
        <v>0</v>
      </c>
      <c r="BT56" s="36">
        <f t="shared" si="9"/>
        <v>0</v>
      </c>
      <c r="BU56" s="37">
        <f t="shared" si="10"/>
        <v>0</v>
      </c>
      <c r="BV56" s="37">
        <f t="shared" si="11"/>
        <v>0</v>
      </c>
      <c r="BW56" s="37">
        <f t="shared" si="12"/>
        <v>0</v>
      </c>
      <c r="BX56" s="37">
        <f t="shared" si="13"/>
        <v>0</v>
      </c>
      <c r="BY56" s="37">
        <f t="shared" si="14"/>
        <v>0</v>
      </c>
      <c r="BZ56" s="33">
        <f t="shared" si="15"/>
        <v>0</v>
      </c>
      <c r="CB56" s="38">
        <f t="shared" si="17"/>
        <v>0</v>
      </c>
      <c r="CC56" s="38">
        <f t="shared" si="18"/>
        <v>0</v>
      </c>
      <c r="CD56" s="38">
        <f t="shared" si="19"/>
        <v>0</v>
      </c>
      <c r="CE56" s="38">
        <f t="shared" si="20"/>
        <v>0</v>
      </c>
      <c r="CF56" s="38">
        <f t="shared" si="21"/>
        <v>0</v>
      </c>
      <c r="CG56" s="38">
        <f t="shared" si="22"/>
        <v>0</v>
      </c>
    </row>
    <row r="57" spans="1:85" ht="15.5" x14ac:dyDescent="0.35">
      <c r="A57" s="43">
        <v>50</v>
      </c>
      <c r="B57" s="43"/>
      <c r="C57" s="43"/>
      <c r="D57" s="42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28">
        <f t="shared" si="1"/>
        <v>0</v>
      </c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31">
        <f t="shared" si="2"/>
        <v>0</v>
      </c>
      <c r="AW57" s="29">
        <f t="shared" si="23"/>
        <v>0</v>
      </c>
      <c r="AX57" s="29">
        <f t="shared" si="24"/>
        <v>0</v>
      </c>
      <c r="AY57" s="29">
        <f t="shared" si="25"/>
        <v>0</v>
      </c>
      <c r="AZ57" s="29">
        <f t="shared" si="26"/>
        <v>0</v>
      </c>
      <c r="BA57" s="29">
        <f t="shared" si="27"/>
        <v>0</v>
      </c>
      <c r="BB57" s="29">
        <f t="shared" si="28"/>
        <v>0</v>
      </c>
      <c r="BD57" s="30"/>
      <c r="BE57" s="30"/>
      <c r="BF57" s="30"/>
      <c r="BG57" s="5"/>
      <c r="BH57" s="5"/>
      <c r="BI57" s="5"/>
      <c r="BJ57" s="25">
        <f t="shared" si="16"/>
        <v>0</v>
      </c>
      <c r="BL57" s="5"/>
      <c r="BM57" s="5"/>
      <c r="BN57" s="5"/>
      <c r="BO57" s="5"/>
      <c r="BP57" s="5"/>
      <c r="BQ57" s="5"/>
      <c r="BR57" s="33">
        <f t="shared" si="0"/>
        <v>0</v>
      </c>
      <c r="BT57" s="36">
        <f t="shared" si="9"/>
        <v>0</v>
      </c>
      <c r="BU57" s="37">
        <f t="shared" si="10"/>
        <v>0</v>
      </c>
      <c r="BV57" s="37">
        <f t="shared" si="11"/>
        <v>0</v>
      </c>
      <c r="BW57" s="37">
        <f t="shared" si="12"/>
        <v>0</v>
      </c>
      <c r="BX57" s="37">
        <f t="shared" si="13"/>
        <v>0</v>
      </c>
      <c r="BY57" s="37">
        <f t="shared" si="14"/>
        <v>0</v>
      </c>
      <c r="BZ57" s="33">
        <f t="shared" si="15"/>
        <v>0</v>
      </c>
      <c r="CB57" s="38">
        <f t="shared" si="17"/>
        <v>0</v>
      </c>
      <c r="CC57" s="38">
        <f t="shared" si="18"/>
        <v>0</v>
      </c>
      <c r="CD57" s="38">
        <f t="shared" si="19"/>
        <v>0</v>
      </c>
      <c r="CE57" s="38">
        <f t="shared" si="20"/>
        <v>0</v>
      </c>
      <c r="CF57" s="38">
        <f t="shared" si="21"/>
        <v>0</v>
      </c>
      <c r="CG57" s="38">
        <f t="shared" si="22"/>
        <v>0</v>
      </c>
    </row>
    <row r="58" spans="1:85" ht="15.5" x14ac:dyDescent="0.35">
      <c r="A58" s="43">
        <v>51</v>
      </c>
      <c r="B58" s="43"/>
      <c r="C58" s="43"/>
      <c r="D58" s="42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28">
        <f t="shared" si="1"/>
        <v>0</v>
      </c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31">
        <f t="shared" si="2"/>
        <v>0</v>
      </c>
      <c r="AW58" s="29">
        <f t="shared" si="23"/>
        <v>0</v>
      </c>
      <c r="AX58" s="29">
        <f t="shared" si="24"/>
        <v>0</v>
      </c>
      <c r="AY58" s="29">
        <f t="shared" si="25"/>
        <v>0</v>
      </c>
      <c r="AZ58" s="29">
        <f t="shared" si="26"/>
        <v>0</v>
      </c>
      <c r="BA58" s="29">
        <f t="shared" si="27"/>
        <v>0</v>
      </c>
      <c r="BB58" s="29">
        <f t="shared" si="28"/>
        <v>0</v>
      </c>
      <c r="BD58" s="30"/>
      <c r="BE58" s="30"/>
      <c r="BF58" s="30"/>
      <c r="BG58" s="5"/>
      <c r="BH58" s="5"/>
      <c r="BI58" s="5"/>
      <c r="BJ58" s="25">
        <f t="shared" si="16"/>
        <v>0</v>
      </c>
      <c r="BL58" s="5"/>
      <c r="BM58" s="5"/>
      <c r="BN58" s="5"/>
      <c r="BO58" s="5"/>
      <c r="BP58" s="5"/>
      <c r="BQ58" s="5"/>
      <c r="BR58" s="33">
        <f t="shared" si="0"/>
        <v>0</v>
      </c>
      <c r="BT58" s="36">
        <f t="shared" si="9"/>
        <v>0</v>
      </c>
      <c r="BU58" s="37">
        <f t="shared" si="10"/>
        <v>0</v>
      </c>
      <c r="BV58" s="37">
        <f t="shared" si="11"/>
        <v>0</v>
      </c>
      <c r="BW58" s="37">
        <f t="shared" si="12"/>
        <v>0</v>
      </c>
      <c r="BX58" s="37">
        <f t="shared" si="13"/>
        <v>0</v>
      </c>
      <c r="BY58" s="37">
        <f t="shared" si="14"/>
        <v>0</v>
      </c>
      <c r="BZ58" s="33">
        <f t="shared" si="15"/>
        <v>0</v>
      </c>
      <c r="CB58" s="38">
        <f t="shared" si="17"/>
        <v>0</v>
      </c>
      <c r="CC58" s="38">
        <f t="shared" si="18"/>
        <v>0</v>
      </c>
      <c r="CD58" s="38">
        <f t="shared" si="19"/>
        <v>0</v>
      </c>
      <c r="CE58" s="38">
        <f t="shared" si="20"/>
        <v>0</v>
      </c>
      <c r="CF58" s="38">
        <f t="shared" si="21"/>
        <v>0</v>
      </c>
      <c r="CG58" s="38">
        <f t="shared" si="22"/>
        <v>0</v>
      </c>
    </row>
    <row r="59" spans="1:85" ht="15.5" x14ac:dyDescent="0.35">
      <c r="A59" s="43">
        <v>52</v>
      </c>
      <c r="B59" s="43"/>
      <c r="C59" s="43"/>
      <c r="D59" s="42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28">
        <f t="shared" si="1"/>
        <v>0</v>
      </c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31">
        <f t="shared" si="2"/>
        <v>0</v>
      </c>
      <c r="AW59" s="29">
        <f t="shared" si="23"/>
        <v>0</v>
      </c>
      <c r="AX59" s="29">
        <f t="shared" si="24"/>
        <v>0</v>
      </c>
      <c r="AY59" s="29">
        <f t="shared" si="25"/>
        <v>0</v>
      </c>
      <c r="AZ59" s="29">
        <f t="shared" si="26"/>
        <v>0</v>
      </c>
      <c r="BA59" s="29">
        <f t="shared" si="27"/>
        <v>0</v>
      </c>
      <c r="BB59" s="29">
        <f t="shared" si="28"/>
        <v>0</v>
      </c>
      <c r="BD59" s="30"/>
      <c r="BE59" s="30"/>
      <c r="BF59" s="30"/>
      <c r="BG59" s="5"/>
      <c r="BH59" s="5"/>
      <c r="BI59" s="5"/>
      <c r="BJ59" s="25">
        <f t="shared" si="16"/>
        <v>0</v>
      </c>
      <c r="BL59" s="5"/>
      <c r="BM59" s="5"/>
      <c r="BN59" s="5"/>
      <c r="BO59" s="5"/>
      <c r="BP59" s="5"/>
      <c r="BQ59" s="5"/>
      <c r="BR59" s="33">
        <f t="shared" si="0"/>
        <v>0</v>
      </c>
      <c r="BT59" s="36">
        <f t="shared" si="9"/>
        <v>0</v>
      </c>
      <c r="BU59" s="37">
        <f t="shared" si="10"/>
        <v>0</v>
      </c>
      <c r="BV59" s="37">
        <f t="shared" si="11"/>
        <v>0</v>
      </c>
      <c r="BW59" s="37">
        <f t="shared" si="12"/>
        <v>0</v>
      </c>
      <c r="BX59" s="37">
        <f t="shared" si="13"/>
        <v>0</v>
      </c>
      <c r="BY59" s="37">
        <f>SUMPRODUCT(($AW$5:$BR$5="CO6")*AW59:BR59)</f>
        <v>0</v>
      </c>
      <c r="BZ59" s="33">
        <f t="shared" si="15"/>
        <v>0</v>
      </c>
      <c r="CB59" s="38">
        <f t="shared" si="17"/>
        <v>0</v>
      </c>
      <c r="CC59" s="38">
        <f t="shared" si="18"/>
        <v>0</v>
      </c>
      <c r="CD59" s="38">
        <f t="shared" si="19"/>
        <v>0</v>
      </c>
      <c r="CE59" s="38">
        <f t="shared" si="20"/>
        <v>0</v>
      </c>
      <c r="CF59" s="38">
        <f t="shared" si="21"/>
        <v>0</v>
      </c>
      <c r="CG59" s="38">
        <f t="shared" si="22"/>
        <v>0</v>
      </c>
    </row>
    <row r="60" spans="1:85" ht="15.5" x14ac:dyDescent="0.35">
      <c r="A60" s="43">
        <v>53</v>
      </c>
      <c r="B60" s="43"/>
      <c r="C60" s="43"/>
      <c r="D60" s="42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28">
        <f t="shared" si="1"/>
        <v>0</v>
      </c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31">
        <f t="shared" si="2"/>
        <v>0</v>
      </c>
      <c r="AW60" s="29">
        <f t="shared" si="23"/>
        <v>0</v>
      </c>
      <c r="AX60" s="29">
        <f t="shared" si="24"/>
        <v>0</v>
      </c>
      <c r="AY60" s="29">
        <f t="shared" si="25"/>
        <v>0</v>
      </c>
      <c r="AZ60" s="29">
        <f t="shared" si="26"/>
        <v>0</v>
      </c>
      <c r="BA60" s="29">
        <f t="shared" si="27"/>
        <v>0</v>
      </c>
      <c r="BB60" s="29">
        <f t="shared" si="28"/>
        <v>0</v>
      </c>
      <c r="BD60" s="30"/>
      <c r="BE60" s="30"/>
      <c r="BF60" s="30"/>
      <c r="BG60" s="5"/>
      <c r="BH60" s="5"/>
      <c r="BI60" s="5"/>
      <c r="BJ60" s="25">
        <f t="shared" si="16"/>
        <v>0</v>
      </c>
      <c r="BL60" s="5"/>
      <c r="BM60" s="5"/>
      <c r="BN60" s="5"/>
      <c r="BO60" s="5"/>
      <c r="BP60" s="5"/>
      <c r="BQ60" s="5"/>
      <c r="BR60" s="33">
        <f t="shared" si="0"/>
        <v>0</v>
      </c>
      <c r="BT60" s="36">
        <f t="shared" si="9"/>
        <v>0</v>
      </c>
      <c r="BU60" s="37">
        <f t="shared" si="10"/>
        <v>0</v>
      </c>
      <c r="BV60" s="37">
        <f t="shared" si="11"/>
        <v>0</v>
      </c>
      <c r="BW60" s="37">
        <f t="shared" si="12"/>
        <v>0</v>
      </c>
      <c r="BX60" s="37">
        <f t="shared" si="13"/>
        <v>0</v>
      </c>
      <c r="BY60" s="37">
        <f t="shared" si="14"/>
        <v>0</v>
      </c>
      <c r="BZ60" s="33">
        <f t="shared" si="15"/>
        <v>0</v>
      </c>
      <c r="CB60" s="38">
        <f t="shared" si="17"/>
        <v>0</v>
      </c>
      <c r="CC60" s="38">
        <f t="shared" si="18"/>
        <v>0</v>
      </c>
      <c r="CD60" s="38">
        <f t="shared" si="19"/>
        <v>0</v>
      </c>
      <c r="CE60" s="38">
        <f t="shared" si="20"/>
        <v>0</v>
      </c>
      <c r="CF60" s="38">
        <f t="shared" si="21"/>
        <v>0</v>
      </c>
      <c r="CG60" s="38">
        <f t="shared" si="22"/>
        <v>0</v>
      </c>
    </row>
    <row r="61" spans="1:85" ht="15.5" x14ac:dyDescent="0.35">
      <c r="A61" s="43">
        <v>54</v>
      </c>
      <c r="B61" s="43"/>
      <c r="C61" s="43"/>
      <c r="D61" s="42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28">
        <f t="shared" si="1"/>
        <v>0</v>
      </c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31">
        <f t="shared" si="2"/>
        <v>0</v>
      </c>
      <c r="AW61" s="29">
        <f t="shared" si="23"/>
        <v>0</v>
      </c>
      <c r="AX61" s="29">
        <f t="shared" si="24"/>
        <v>0</v>
      </c>
      <c r="AY61" s="29">
        <f t="shared" si="25"/>
        <v>0</v>
      </c>
      <c r="AZ61" s="29">
        <f t="shared" si="26"/>
        <v>0</v>
      </c>
      <c r="BA61" s="29">
        <f t="shared" si="27"/>
        <v>0</v>
      </c>
      <c r="BB61" s="29">
        <f t="shared" si="28"/>
        <v>0</v>
      </c>
      <c r="BD61" s="30"/>
      <c r="BE61" s="30"/>
      <c r="BF61" s="30"/>
      <c r="BG61" s="5"/>
      <c r="BH61" s="5"/>
      <c r="BI61" s="5"/>
      <c r="BJ61" s="25">
        <f t="shared" si="16"/>
        <v>0</v>
      </c>
      <c r="BL61" s="5"/>
      <c r="BM61" s="5"/>
      <c r="BN61" s="5"/>
      <c r="BO61" s="5"/>
      <c r="BP61" s="5"/>
      <c r="BQ61" s="5"/>
      <c r="BR61" s="33">
        <f t="shared" si="0"/>
        <v>0</v>
      </c>
      <c r="BT61" s="36">
        <f t="shared" si="9"/>
        <v>0</v>
      </c>
      <c r="BU61" s="37">
        <f t="shared" si="10"/>
        <v>0</v>
      </c>
      <c r="BV61" s="37">
        <f t="shared" si="11"/>
        <v>0</v>
      </c>
      <c r="BW61" s="37">
        <f t="shared" si="12"/>
        <v>0</v>
      </c>
      <c r="BX61" s="37">
        <f t="shared" si="13"/>
        <v>0</v>
      </c>
      <c r="BY61" s="37">
        <f t="shared" si="14"/>
        <v>0</v>
      </c>
      <c r="BZ61" s="33">
        <f t="shared" si="15"/>
        <v>0</v>
      </c>
      <c r="CB61" s="38">
        <f t="shared" si="17"/>
        <v>0</v>
      </c>
      <c r="CC61" s="38">
        <f t="shared" si="18"/>
        <v>0</v>
      </c>
      <c r="CD61" s="38">
        <f t="shared" si="19"/>
        <v>0</v>
      </c>
      <c r="CE61" s="38">
        <f t="shared" si="20"/>
        <v>0</v>
      </c>
      <c r="CF61" s="38">
        <f t="shared" si="21"/>
        <v>0</v>
      </c>
      <c r="CG61" s="38">
        <f t="shared" si="22"/>
        <v>0</v>
      </c>
    </row>
    <row r="62" spans="1:85" ht="15.5" x14ac:dyDescent="0.35">
      <c r="A62" s="43">
        <v>55</v>
      </c>
      <c r="B62" s="43"/>
      <c r="C62" s="43"/>
      <c r="D62" s="42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28">
        <f t="shared" si="1"/>
        <v>0</v>
      </c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31">
        <f t="shared" si="2"/>
        <v>0</v>
      </c>
      <c r="AW62" s="29">
        <f t="shared" si="23"/>
        <v>0</v>
      </c>
      <c r="AX62" s="29">
        <f t="shared" si="24"/>
        <v>0</v>
      </c>
      <c r="AY62" s="29">
        <f t="shared" si="25"/>
        <v>0</v>
      </c>
      <c r="AZ62" s="29">
        <f t="shared" si="26"/>
        <v>0</v>
      </c>
      <c r="BA62" s="29">
        <f t="shared" si="27"/>
        <v>0</v>
      </c>
      <c r="BB62" s="29">
        <f t="shared" si="28"/>
        <v>0</v>
      </c>
      <c r="BD62" s="30"/>
      <c r="BE62" s="30"/>
      <c r="BF62" s="30"/>
      <c r="BG62" s="5"/>
      <c r="BH62" s="5"/>
      <c r="BI62" s="5"/>
      <c r="BJ62" s="25">
        <f t="shared" si="16"/>
        <v>0</v>
      </c>
      <c r="BL62" s="5"/>
      <c r="BM62" s="5"/>
      <c r="BN62" s="5"/>
      <c r="BO62" s="5"/>
      <c r="BP62" s="5"/>
      <c r="BQ62" s="5"/>
      <c r="BR62" s="33">
        <f t="shared" si="0"/>
        <v>0</v>
      </c>
      <c r="BT62" s="36">
        <f t="shared" si="9"/>
        <v>0</v>
      </c>
      <c r="BU62" s="37">
        <f t="shared" si="10"/>
        <v>0</v>
      </c>
      <c r="BV62" s="37">
        <f t="shared" si="11"/>
        <v>0</v>
      </c>
      <c r="BW62" s="37">
        <f t="shared" si="12"/>
        <v>0</v>
      </c>
      <c r="BX62" s="37">
        <f t="shared" si="13"/>
        <v>0</v>
      </c>
      <c r="BY62" s="37">
        <f t="shared" si="14"/>
        <v>0</v>
      </c>
      <c r="BZ62" s="33">
        <f t="shared" si="15"/>
        <v>0</v>
      </c>
      <c r="CB62" s="38">
        <f t="shared" si="17"/>
        <v>0</v>
      </c>
      <c r="CC62" s="38">
        <f t="shared" si="18"/>
        <v>0</v>
      </c>
      <c r="CD62" s="38">
        <f t="shared" si="19"/>
        <v>0</v>
      </c>
      <c r="CE62" s="38">
        <f t="shared" si="20"/>
        <v>0</v>
      </c>
      <c r="CF62" s="38">
        <f t="shared" si="21"/>
        <v>0</v>
      </c>
      <c r="CG62" s="38">
        <f t="shared" si="22"/>
        <v>0</v>
      </c>
    </row>
    <row r="63" spans="1:85" ht="15.5" x14ac:dyDescent="0.35">
      <c r="A63" s="43">
        <v>56</v>
      </c>
      <c r="B63" s="43"/>
      <c r="C63" s="43"/>
      <c r="D63" s="42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28">
        <f t="shared" si="1"/>
        <v>0</v>
      </c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31">
        <f t="shared" si="2"/>
        <v>0</v>
      </c>
      <c r="AW63" s="29">
        <f t="shared" si="23"/>
        <v>0</v>
      </c>
      <c r="AX63" s="29">
        <f t="shared" si="24"/>
        <v>0</v>
      </c>
      <c r="AY63" s="29">
        <f t="shared" si="25"/>
        <v>0</v>
      </c>
      <c r="AZ63" s="29">
        <f t="shared" si="26"/>
        <v>0</v>
      </c>
      <c r="BA63" s="29">
        <f t="shared" si="27"/>
        <v>0</v>
      </c>
      <c r="BB63" s="29">
        <f t="shared" si="28"/>
        <v>0</v>
      </c>
      <c r="BD63" s="30"/>
      <c r="BE63" s="30"/>
      <c r="BF63" s="30"/>
      <c r="BG63" s="5"/>
      <c r="BH63" s="5"/>
      <c r="BI63" s="5"/>
      <c r="BJ63" s="25">
        <f t="shared" si="16"/>
        <v>0</v>
      </c>
      <c r="BL63" s="5"/>
      <c r="BM63" s="5"/>
      <c r="BN63" s="5"/>
      <c r="BO63" s="5"/>
      <c r="BP63" s="5"/>
      <c r="BQ63" s="5"/>
      <c r="BR63" s="33">
        <f t="shared" si="0"/>
        <v>0</v>
      </c>
      <c r="BT63" s="36">
        <f t="shared" si="9"/>
        <v>0</v>
      </c>
      <c r="BU63" s="37">
        <f t="shared" si="10"/>
        <v>0</v>
      </c>
      <c r="BV63" s="37">
        <f t="shared" si="11"/>
        <v>0</v>
      </c>
      <c r="BW63" s="37">
        <f t="shared" si="12"/>
        <v>0</v>
      </c>
      <c r="BX63" s="37">
        <f t="shared" si="13"/>
        <v>0</v>
      </c>
      <c r="BY63" s="37">
        <f t="shared" si="14"/>
        <v>0</v>
      </c>
      <c r="BZ63" s="33">
        <f t="shared" si="15"/>
        <v>0</v>
      </c>
      <c r="CB63" s="38">
        <f t="shared" si="17"/>
        <v>0</v>
      </c>
      <c r="CC63" s="38">
        <f t="shared" si="18"/>
        <v>0</v>
      </c>
      <c r="CD63" s="38">
        <f t="shared" si="19"/>
        <v>0</v>
      </c>
      <c r="CE63" s="38">
        <f t="shared" si="20"/>
        <v>0</v>
      </c>
      <c r="CF63" s="38">
        <f t="shared" si="21"/>
        <v>0</v>
      </c>
      <c r="CG63" s="38">
        <f t="shared" si="22"/>
        <v>0</v>
      </c>
    </row>
    <row r="64" spans="1:85" ht="15.5" x14ac:dyDescent="0.35">
      <c r="A64" s="43">
        <v>57</v>
      </c>
      <c r="B64" s="43"/>
      <c r="C64" s="43"/>
      <c r="D64" s="42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28">
        <f t="shared" si="1"/>
        <v>0</v>
      </c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31">
        <f t="shared" si="2"/>
        <v>0</v>
      </c>
      <c r="AW64" s="29">
        <f t="shared" si="23"/>
        <v>0</v>
      </c>
      <c r="AX64" s="29">
        <f t="shared" si="24"/>
        <v>0</v>
      </c>
      <c r="AY64" s="29">
        <f t="shared" si="25"/>
        <v>0</v>
      </c>
      <c r="AZ64" s="29">
        <f t="shared" si="26"/>
        <v>0</v>
      </c>
      <c r="BA64" s="29">
        <f t="shared" si="27"/>
        <v>0</v>
      </c>
      <c r="BB64" s="29">
        <f t="shared" si="28"/>
        <v>0</v>
      </c>
      <c r="BD64" s="30"/>
      <c r="BE64" s="30"/>
      <c r="BF64" s="30"/>
      <c r="BG64" s="5"/>
      <c r="BH64" s="5"/>
      <c r="BI64" s="5"/>
      <c r="BJ64" s="25">
        <f t="shared" si="16"/>
        <v>0</v>
      </c>
      <c r="BL64" s="5"/>
      <c r="BM64" s="5"/>
      <c r="BN64" s="5"/>
      <c r="BO64" s="5"/>
      <c r="BP64" s="5"/>
      <c r="BQ64" s="5"/>
      <c r="BR64" s="33">
        <f t="shared" si="0"/>
        <v>0</v>
      </c>
      <c r="BT64" s="36">
        <f t="shared" si="9"/>
        <v>0</v>
      </c>
      <c r="BU64" s="37">
        <f t="shared" si="10"/>
        <v>0</v>
      </c>
      <c r="BV64" s="37">
        <f t="shared" si="11"/>
        <v>0</v>
      </c>
      <c r="BW64" s="37">
        <f t="shared" si="12"/>
        <v>0</v>
      </c>
      <c r="BX64" s="37">
        <f t="shared" si="13"/>
        <v>0</v>
      </c>
      <c r="BY64" s="37">
        <f t="shared" si="14"/>
        <v>0</v>
      </c>
      <c r="BZ64" s="33">
        <f t="shared" si="15"/>
        <v>0</v>
      </c>
      <c r="CB64" s="38">
        <f t="shared" si="17"/>
        <v>0</v>
      </c>
      <c r="CC64" s="38">
        <f t="shared" si="18"/>
        <v>0</v>
      </c>
      <c r="CD64" s="38">
        <f t="shared" si="19"/>
        <v>0</v>
      </c>
      <c r="CE64" s="38">
        <f t="shared" si="20"/>
        <v>0</v>
      </c>
      <c r="CF64" s="38">
        <f t="shared" si="21"/>
        <v>0</v>
      </c>
      <c r="CG64" s="38">
        <f t="shared" si="22"/>
        <v>0</v>
      </c>
    </row>
    <row r="65" spans="1:85" ht="15.5" x14ac:dyDescent="0.35">
      <c r="A65" s="43">
        <v>58</v>
      </c>
      <c r="B65" s="43"/>
      <c r="C65" s="43"/>
      <c r="D65" s="42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28">
        <f t="shared" si="1"/>
        <v>0</v>
      </c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31">
        <f t="shared" si="2"/>
        <v>0</v>
      </c>
      <c r="AW65" s="29">
        <f t="shared" si="23"/>
        <v>0</v>
      </c>
      <c r="AX65" s="29">
        <f t="shared" si="24"/>
        <v>0</v>
      </c>
      <c r="AY65" s="29">
        <f t="shared" si="25"/>
        <v>0</v>
      </c>
      <c r="AZ65" s="29">
        <f t="shared" si="26"/>
        <v>0</v>
      </c>
      <c r="BA65" s="29">
        <f t="shared" si="27"/>
        <v>0</v>
      </c>
      <c r="BB65" s="29">
        <f t="shared" si="28"/>
        <v>0</v>
      </c>
      <c r="BD65" s="30"/>
      <c r="BE65" s="30"/>
      <c r="BF65" s="30"/>
      <c r="BG65" s="5"/>
      <c r="BH65" s="5"/>
      <c r="BI65" s="5"/>
      <c r="BJ65" s="25">
        <f t="shared" si="16"/>
        <v>0</v>
      </c>
      <c r="BL65" s="5"/>
      <c r="BM65" s="5"/>
      <c r="BN65" s="5"/>
      <c r="BO65" s="5"/>
      <c r="BP65" s="5"/>
      <c r="BQ65" s="5"/>
      <c r="BR65" s="33">
        <f t="shared" si="0"/>
        <v>0</v>
      </c>
      <c r="BT65" s="36">
        <f t="shared" si="9"/>
        <v>0</v>
      </c>
      <c r="BU65" s="37">
        <f t="shared" si="10"/>
        <v>0</v>
      </c>
      <c r="BV65" s="37">
        <f t="shared" si="11"/>
        <v>0</v>
      </c>
      <c r="BW65" s="37">
        <f t="shared" si="12"/>
        <v>0</v>
      </c>
      <c r="BX65" s="37">
        <f t="shared" si="13"/>
        <v>0</v>
      </c>
      <c r="BY65" s="37">
        <f t="shared" si="14"/>
        <v>0</v>
      </c>
      <c r="BZ65" s="33">
        <f t="shared" si="15"/>
        <v>0</v>
      </c>
      <c r="CB65" s="38">
        <f t="shared" si="17"/>
        <v>0</v>
      </c>
      <c r="CC65" s="38">
        <f t="shared" si="18"/>
        <v>0</v>
      </c>
      <c r="CD65" s="38">
        <f t="shared" si="19"/>
        <v>0</v>
      </c>
      <c r="CE65" s="38">
        <f t="shared" si="20"/>
        <v>0</v>
      </c>
      <c r="CF65" s="38">
        <f t="shared" si="21"/>
        <v>0</v>
      </c>
      <c r="CG65" s="38">
        <f t="shared" si="22"/>
        <v>0</v>
      </c>
    </row>
    <row r="66" spans="1:85" ht="15.5" x14ac:dyDescent="0.35">
      <c r="A66" s="43">
        <v>59</v>
      </c>
      <c r="B66" s="43"/>
      <c r="C66" s="43"/>
      <c r="D66" s="42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28">
        <f t="shared" si="1"/>
        <v>0</v>
      </c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31">
        <f t="shared" si="2"/>
        <v>0</v>
      </c>
      <c r="AW66" s="29">
        <f t="shared" si="23"/>
        <v>0</v>
      </c>
      <c r="AX66" s="29">
        <f t="shared" si="24"/>
        <v>0</v>
      </c>
      <c r="AY66" s="29">
        <f t="shared" si="25"/>
        <v>0</v>
      </c>
      <c r="AZ66" s="29">
        <f t="shared" si="26"/>
        <v>0</v>
      </c>
      <c r="BA66" s="29">
        <f t="shared" si="27"/>
        <v>0</v>
      </c>
      <c r="BB66" s="29">
        <f t="shared" si="28"/>
        <v>0</v>
      </c>
      <c r="BD66" s="30"/>
      <c r="BE66" s="30"/>
      <c r="BF66" s="30"/>
      <c r="BG66" s="5"/>
      <c r="BH66" s="5"/>
      <c r="BI66" s="5"/>
      <c r="BJ66" s="25">
        <f t="shared" si="16"/>
        <v>0</v>
      </c>
      <c r="BL66" s="5"/>
      <c r="BM66" s="5"/>
      <c r="BN66" s="5"/>
      <c r="BO66" s="5"/>
      <c r="BP66" s="5"/>
      <c r="BQ66" s="5"/>
      <c r="BR66" s="33">
        <f t="shared" si="0"/>
        <v>0</v>
      </c>
      <c r="BT66" s="36">
        <f t="shared" si="9"/>
        <v>0</v>
      </c>
      <c r="BU66" s="37">
        <f t="shared" si="10"/>
        <v>0</v>
      </c>
      <c r="BV66" s="37">
        <f t="shared" si="11"/>
        <v>0</v>
      </c>
      <c r="BW66" s="37">
        <f t="shared" si="12"/>
        <v>0</v>
      </c>
      <c r="BX66" s="37">
        <f t="shared" si="13"/>
        <v>0</v>
      </c>
      <c r="BY66" s="37">
        <f t="shared" si="14"/>
        <v>0</v>
      </c>
      <c r="BZ66" s="33">
        <f t="shared" si="15"/>
        <v>0</v>
      </c>
      <c r="CB66" s="38">
        <f t="shared" si="17"/>
        <v>0</v>
      </c>
      <c r="CC66" s="38">
        <f t="shared" si="18"/>
        <v>0</v>
      </c>
      <c r="CD66" s="38">
        <f t="shared" si="19"/>
        <v>0</v>
      </c>
      <c r="CE66" s="38">
        <f t="shared" si="20"/>
        <v>0</v>
      </c>
      <c r="CF66" s="38">
        <f t="shared" si="21"/>
        <v>0</v>
      </c>
      <c r="CG66" s="38">
        <f t="shared" si="22"/>
        <v>0</v>
      </c>
    </row>
    <row r="67" spans="1:85" ht="15.5" x14ac:dyDescent="0.35">
      <c r="A67" s="43">
        <v>60</v>
      </c>
      <c r="B67" s="43"/>
      <c r="C67" s="43"/>
      <c r="D67" s="42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28">
        <f t="shared" si="1"/>
        <v>0</v>
      </c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31">
        <f t="shared" si="2"/>
        <v>0</v>
      </c>
      <c r="AW67" s="29">
        <f t="shared" si="23"/>
        <v>0</v>
      </c>
      <c r="AX67" s="29">
        <f t="shared" si="24"/>
        <v>0</v>
      </c>
      <c r="AY67" s="29">
        <f t="shared" si="25"/>
        <v>0</v>
      </c>
      <c r="AZ67" s="29">
        <f t="shared" si="26"/>
        <v>0</v>
      </c>
      <c r="BA67" s="29">
        <f t="shared" si="27"/>
        <v>0</v>
      </c>
      <c r="BB67" s="29">
        <f t="shared" si="28"/>
        <v>0</v>
      </c>
      <c r="BD67" s="30"/>
      <c r="BE67" s="30"/>
      <c r="BF67" s="30"/>
      <c r="BG67" s="5"/>
      <c r="BH67" s="5"/>
      <c r="BI67" s="5"/>
      <c r="BJ67" s="25">
        <f t="shared" si="16"/>
        <v>0</v>
      </c>
      <c r="BL67" s="5"/>
      <c r="BM67" s="5"/>
      <c r="BN67" s="5"/>
      <c r="BO67" s="5"/>
      <c r="BP67" s="5"/>
      <c r="BQ67" s="5"/>
      <c r="BR67" s="33">
        <f t="shared" si="0"/>
        <v>0</v>
      </c>
      <c r="BT67" s="36">
        <f t="shared" si="9"/>
        <v>0</v>
      </c>
      <c r="BU67" s="37">
        <f t="shared" si="10"/>
        <v>0</v>
      </c>
      <c r="BV67" s="37">
        <f t="shared" si="11"/>
        <v>0</v>
      </c>
      <c r="BW67" s="37">
        <f t="shared" si="12"/>
        <v>0</v>
      </c>
      <c r="BX67" s="37">
        <f t="shared" si="13"/>
        <v>0</v>
      </c>
      <c r="BY67" s="37">
        <f t="shared" si="14"/>
        <v>0</v>
      </c>
      <c r="BZ67" s="33">
        <f t="shared" si="15"/>
        <v>0</v>
      </c>
      <c r="CB67" s="38">
        <f t="shared" si="17"/>
        <v>0</v>
      </c>
      <c r="CC67" s="38">
        <f t="shared" si="18"/>
        <v>0</v>
      </c>
      <c r="CD67" s="38">
        <f t="shared" si="19"/>
        <v>0</v>
      </c>
      <c r="CE67" s="38">
        <f t="shared" si="20"/>
        <v>0</v>
      </c>
      <c r="CF67" s="38">
        <f t="shared" si="21"/>
        <v>0</v>
      </c>
      <c r="CG67" s="38">
        <f t="shared" si="22"/>
        <v>0</v>
      </c>
    </row>
    <row r="68" spans="1:85" ht="15.5" x14ac:dyDescent="0.35">
      <c r="A68" s="43">
        <v>61</v>
      </c>
      <c r="B68" s="43"/>
      <c r="C68" s="43"/>
      <c r="D68" s="42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28">
        <f t="shared" si="1"/>
        <v>0</v>
      </c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31">
        <f t="shared" si="2"/>
        <v>0</v>
      </c>
      <c r="AW68" s="29">
        <f t="shared" si="23"/>
        <v>0</v>
      </c>
      <c r="AX68" s="29">
        <f t="shared" si="24"/>
        <v>0</v>
      </c>
      <c r="AY68" s="29">
        <f t="shared" si="25"/>
        <v>0</v>
      </c>
      <c r="AZ68" s="29">
        <f t="shared" si="26"/>
        <v>0</v>
      </c>
      <c r="BA68" s="29">
        <f t="shared" si="27"/>
        <v>0</v>
      </c>
      <c r="BB68" s="29">
        <f t="shared" si="28"/>
        <v>0</v>
      </c>
      <c r="BD68" s="30"/>
      <c r="BE68" s="30"/>
      <c r="BF68" s="30"/>
      <c r="BG68" s="5"/>
      <c r="BH68" s="5"/>
      <c r="BI68" s="5"/>
      <c r="BJ68" s="25">
        <f t="shared" si="16"/>
        <v>0</v>
      </c>
      <c r="BL68" s="5"/>
      <c r="BM68" s="5"/>
      <c r="BN68" s="5"/>
      <c r="BO68" s="5"/>
      <c r="BP68" s="5"/>
      <c r="BQ68" s="5"/>
      <c r="BR68" s="33">
        <f t="shared" si="0"/>
        <v>0</v>
      </c>
      <c r="BT68" s="36">
        <f t="shared" si="9"/>
        <v>0</v>
      </c>
      <c r="BU68" s="37">
        <f t="shared" si="10"/>
        <v>0</v>
      </c>
      <c r="BV68" s="37">
        <f t="shared" si="11"/>
        <v>0</v>
      </c>
      <c r="BW68" s="37">
        <f t="shared" si="12"/>
        <v>0</v>
      </c>
      <c r="BX68" s="37">
        <f t="shared" si="13"/>
        <v>0</v>
      </c>
      <c r="BY68" s="37">
        <f t="shared" si="14"/>
        <v>0</v>
      </c>
      <c r="BZ68" s="33">
        <f t="shared" si="15"/>
        <v>0</v>
      </c>
      <c r="CB68" s="38">
        <f t="shared" si="17"/>
        <v>0</v>
      </c>
      <c r="CC68" s="38">
        <f t="shared" si="18"/>
        <v>0</v>
      </c>
      <c r="CD68" s="38">
        <f t="shared" si="19"/>
        <v>0</v>
      </c>
      <c r="CE68" s="38">
        <f t="shared" si="20"/>
        <v>0</v>
      </c>
      <c r="CF68" s="38">
        <f t="shared" si="21"/>
        <v>0</v>
      </c>
      <c r="CG68" s="38">
        <f t="shared" si="22"/>
        <v>0</v>
      </c>
    </row>
    <row r="69" spans="1:85" ht="15.5" x14ac:dyDescent="0.35">
      <c r="A69" s="43">
        <v>62</v>
      </c>
      <c r="B69" s="43"/>
      <c r="C69" s="43"/>
      <c r="D69" s="42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28">
        <f t="shared" si="1"/>
        <v>0</v>
      </c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31">
        <f t="shared" si="2"/>
        <v>0</v>
      </c>
      <c r="AW69" s="29">
        <f t="shared" si="23"/>
        <v>0</v>
      </c>
      <c r="AX69" s="29">
        <f t="shared" si="24"/>
        <v>0</v>
      </c>
      <c r="AY69" s="29">
        <f t="shared" si="25"/>
        <v>0</v>
      </c>
      <c r="AZ69" s="29">
        <f t="shared" si="26"/>
        <v>0</v>
      </c>
      <c r="BA69" s="29">
        <f t="shared" si="27"/>
        <v>0</v>
      </c>
      <c r="BB69" s="29">
        <f t="shared" si="28"/>
        <v>0</v>
      </c>
      <c r="BD69" s="30"/>
      <c r="BE69" s="30"/>
      <c r="BF69" s="30"/>
      <c r="BG69" s="5"/>
      <c r="BH69" s="5"/>
      <c r="BI69" s="5"/>
      <c r="BJ69" s="25">
        <f t="shared" si="16"/>
        <v>0</v>
      </c>
      <c r="BL69" s="5"/>
      <c r="BM69" s="5"/>
      <c r="BN69" s="5"/>
      <c r="BO69" s="5"/>
      <c r="BP69" s="5"/>
      <c r="BQ69" s="5"/>
      <c r="BR69" s="33">
        <f t="shared" si="0"/>
        <v>0</v>
      </c>
      <c r="BT69" s="36">
        <f t="shared" si="9"/>
        <v>0</v>
      </c>
      <c r="BU69" s="37">
        <f t="shared" si="10"/>
        <v>0</v>
      </c>
      <c r="BV69" s="37">
        <f t="shared" si="11"/>
        <v>0</v>
      </c>
      <c r="BW69" s="37">
        <f t="shared" si="12"/>
        <v>0</v>
      </c>
      <c r="BX69" s="37">
        <f t="shared" si="13"/>
        <v>0</v>
      </c>
      <c r="BY69" s="37">
        <f t="shared" si="14"/>
        <v>0</v>
      </c>
      <c r="BZ69" s="33">
        <f t="shared" si="15"/>
        <v>0</v>
      </c>
      <c r="CB69" s="38">
        <f t="shared" si="17"/>
        <v>0</v>
      </c>
      <c r="CC69" s="38">
        <f t="shared" si="18"/>
        <v>0</v>
      </c>
      <c r="CD69" s="38">
        <f t="shared" si="19"/>
        <v>0</v>
      </c>
      <c r="CE69" s="38">
        <f t="shared" si="20"/>
        <v>0</v>
      </c>
      <c r="CF69" s="38">
        <f t="shared" si="21"/>
        <v>0</v>
      </c>
      <c r="CG69" s="38">
        <f t="shared" si="22"/>
        <v>0</v>
      </c>
    </row>
    <row r="70" spans="1:85" ht="15.5" x14ac:dyDescent="0.35">
      <c r="A70" s="43">
        <v>63</v>
      </c>
      <c r="B70" s="43"/>
      <c r="C70" s="43"/>
      <c r="D70" s="42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28">
        <f t="shared" si="1"/>
        <v>0</v>
      </c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31">
        <f t="shared" si="2"/>
        <v>0</v>
      </c>
      <c r="AW70" s="29">
        <f t="shared" si="23"/>
        <v>0</v>
      </c>
      <c r="AX70" s="29">
        <f t="shared" si="24"/>
        <v>0</v>
      </c>
      <c r="AY70" s="29">
        <f t="shared" si="25"/>
        <v>0</v>
      </c>
      <c r="AZ70" s="29">
        <f t="shared" si="26"/>
        <v>0</v>
      </c>
      <c r="BA70" s="29">
        <f t="shared" si="27"/>
        <v>0</v>
      </c>
      <c r="BB70" s="29">
        <f t="shared" si="28"/>
        <v>0</v>
      </c>
      <c r="BD70" s="30"/>
      <c r="BE70" s="30"/>
      <c r="BF70" s="30"/>
      <c r="BG70" s="5"/>
      <c r="BH70" s="5"/>
      <c r="BI70" s="5"/>
      <c r="BJ70" s="25">
        <f t="shared" si="16"/>
        <v>0</v>
      </c>
      <c r="BL70" s="5"/>
      <c r="BM70" s="5"/>
      <c r="BN70" s="5"/>
      <c r="BO70" s="5"/>
      <c r="BP70" s="5"/>
      <c r="BQ70" s="5"/>
      <c r="BR70" s="33">
        <f t="shared" si="0"/>
        <v>0</v>
      </c>
      <c r="BT70" s="36">
        <f t="shared" si="9"/>
        <v>0</v>
      </c>
      <c r="BU70" s="37">
        <f t="shared" si="10"/>
        <v>0</v>
      </c>
      <c r="BV70" s="37">
        <f t="shared" si="11"/>
        <v>0</v>
      </c>
      <c r="BW70" s="37">
        <f t="shared" si="12"/>
        <v>0</v>
      </c>
      <c r="BX70" s="37">
        <f t="shared" si="13"/>
        <v>0</v>
      </c>
      <c r="BY70" s="37">
        <f t="shared" si="14"/>
        <v>0</v>
      </c>
      <c r="BZ70" s="33">
        <f t="shared" si="15"/>
        <v>0</v>
      </c>
      <c r="CB70" s="38">
        <f t="shared" si="17"/>
        <v>0</v>
      </c>
      <c r="CC70" s="38">
        <f t="shared" si="18"/>
        <v>0</v>
      </c>
      <c r="CD70" s="38">
        <f t="shared" si="19"/>
        <v>0</v>
      </c>
      <c r="CE70" s="38">
        <f t="shared" si="20"/>
        <v>0</v>
      </c>
      <c r="CF70" s="38">
        <f t="shared" si="21"/>
        <v>0</v>
      </c>
      <c r="CG70" s="38">
        <f t="shared" si="22"/>
        <v>0</v>
      </c>
    </row>
    <row r="71" spans="1:85" ht="15.5" x14ac:dyDescent="0.35">
      <c r="A71" s="43">
        <v>64</v>
      </c>
      <c r="B71" s="43"/>
      <c r="C71" s="43"/>
      <c r="D71" s="42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28">
        <f t="shared" si="1"/>
        <v>0</v>
      </c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31">
        <f t="shared" si="2"/>
        <v>0</v>
      </c>
      <c r="AW71" s="29">
        <f t="shared" si="23"/>
        <v>0</v>
      </c>
      <c r="AX71" s="29">
        <f t="shared" si="24"/>
        <v>0</v>
      </c>
      <c r="AY71" s="29">
        <f t="shared" si="25"/>
        <v>0</v>
      </c>
      <c r="AZ71" s="29">
        <f t="shared" si="26"/>
        <v>0</v>
      </c>
      <c r="BA71" s="29">
        <f t="shared" si="27"/>
        <v>0</v>
      </c>
      <c r="BB71" s="29">
        <f t="shared" si="28"/>
        <v>0</v>
      </c>
      <c r="BD71" s="30"/>
      <c r="BE71" s="30"/>
      <c r="BF71" s="30"/>
      <c r="BG71" s="5"/>
      <c r="BH71" s="5"/>
      <c r="BI71" s="5"/>
      <c r="BJ71" s="25">
        <f t="shared" si="16"/>
        <v>0</v>
      </c>
      <c r="BL71" s="5"/>
      <c r="BM71" s="5"/>
      <c r="BN71" s="5"/>
      <c r="BO71" s="5"/>
      <c r="BP71" s="5"/>
      <c r="BQ71" s="5"/>
      <c r="BR71" s="33">
        <f t="shared" ref="BR71:BR125" si="29">SUM(BL71:BQ71)</f>
        <v>0</v>
      </c>
      <c r="BT71" s="36">
        <f t="shared" si="9"/>
        <v>0</v>
      </c>
      <c r="BU71" s="37">
        <f t="shared" si="10"/>
        <v>0</v>
      </c>
      <c r="BV71" s="37">
        <f t="shared" si="11"/>
        <v>0</v>
      </c>
      <c r="BW71" s="37">
        <f t="shared" si="12"/>
        <v>0</v>
      </c>
      <c r="BX71" s="37">
        <f t="shared" si="13"/>
        <v>0</v>
      </c>
      <c r="BY71" s="37">
        <f t="shared" si="14"/>
        <v>0</v>
      </c>
      <c r="BZ71" s="33">
        <f t="shared" si="15"/>
        <v>0</v>
      </c>
      <c r="CB71" s="38">
        <f t="shared" si="17"/>
        <v>0</v>
      </c>
      <c r="CC71" s="38">
        <f t="shared" si="18"/>
        <v>0</v>
      </c>
      <c r="CD71" s="38">
        <f t="shared" si="19"/>
        <v>0</v>
      </c>
      <c r="CE71" s="38">
        <f t="shared" si="20"/>
        <v>0</v>
      </c>
      <c r="CF71" s="38">
        <f t="shared" si="21"/>
        <v>0</v>
      </c>
      <c r="CG71" s="38">
        <f t="shared" si="22"/>
        <v>0</v>
      </c>
    </row>
    <row r="72" spans="1:85" ht="15.5" x14ac:dyDescent="0.35">
      <c r="A72" s="43">
        <v>65</v>
      </c>
      <c r="B72" s="43"/>
      <c r="C72" s="43"/>
      <c r="D72" s="42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28">
        <f t="shared" ref="Y72:Y87" si="30">SUM(E72:P72)+(IF(Q72&lt;&gt;"",Q72,R72))+(IF(S72&lt;&gt;"",S72,T72))+(IF(U72&lt;&gt;"",U72,V72))+(IF(W72&lt;&gt;"",W72,X72))</f>
        <v>0</v>
      </c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31">
        <f t="shared" ref="AU72:AU135" si="31">SUM(AA72:AL72)+(IF(AM72&lt;&gt;"",AM72,AN72))+(IF(AO72&lt;&gt;"",AO72,AP72))+(IF(AQ72&lt;&gt;"",AQ72,AR72))+(IF(AS72&lt;&gt;"",AS72,AT72))</f>
        <v>0</v>
      </c>
      <c r="AW72" s="29">
        <f t="shared" ref="AW72:AW79" si="32">SUMPRODUCT(($E$5:$P$5="CO1")*(E72:P72))
+SUMPRODUCT(($AA$5:$AL$5="CO1")*(AA72:AL72))
+IF($Q$5="CO1",IF(Q72&lt;&gt;"",Q72,R72),0)
+IF($S$5="CO1",IF(S72&lt;&gt;"",S72,T72),0)
+IF($U$5="CO1",IF(U72&lt;&gt;"",U72,V72),0)
+IF($W$5="CO1",IF(W72&lt;&gt;"",W72,X72),0)
+IF($AM$5="CO1",IF(AM72&lt;&gt;"",AM72,AN72),0)
+IF($AO$5="CO1",IF(AO72&lt;&gt;"",AO72,AP72),0)
+IF($AQ$5="CO1",IF(AQ72&lt;&gt;"",AQ72,AR72),0)
+IF($AS$5="CO1",IF(AS72&lt;&gt;"",AS72,AT72),0)</f>
        <v>0</v>
      </c>
      <c r="AX72" s="29">
        <f t="shared" ref="AX72:AX79" si="33">SUMPRODUCT(($E$5:$P$5="CO2")*(E72:P72))
+SUMPRODUCT(($AA$5:$AL$5="CO2")*(AA72:AL72))
+IF($Q$5="CO2",IF(R72&lt;&gt;"",R72,S72),0)
+IF($S$5="CO2",IF(T72&lt;&gt;"",T72,U72),0)
+IF($U$5="CO2",IF(V72&lt;&gt;"",V72,W72),0)
+IF($W$5="CO2",IF(X72&lt;&gt;"",X72,Y72),0)
+IF($AM$5="CO2",IF(AN72&lt;&gt;"",AN72,AO72),0)
+IF($AO$5="CO2",IF(AP72&lt;&gt;"",AP72,AQ72),0)
+IF($AQ$5="CO2",IF(AR72&lt;&gt;"",AR72,AS72),0)
+IF($AS$5="CO2",IF(AT72&lt;&gt;"",AT72,AU72),0)</f>
        <v>0</v>
      </c>
      <c r="AY72" s="29">
        <f t="shared" ref="AY72:AY79" si="34">SUMPRODUCT(($E$5:$P$5="CO3")*(E72:P72))
+SUMPRODUCT(($AA$5:$AL$5="CO3")*(AA72:AL72))
+IF($Q$5="CO3",IF(Q72&lt;&gt;"",Q72,R72),0)
+IF($S$5="CO3",IF(S72&lt;&gt;"",S72,T72),0)
+IF($U$5="CO3",IF(U72&lt;&gt;"",U72,V72),0)
+IF($W$5="CO3",IF(W72&lt;&gt;"",W72,X72),0)
+IF($AM$5="CO3",IF(AM72&lt;&gt;"",AM72,AN72),0)
+IF($AO$5="CO3",IF(AO72&lt;&gt;"",AO72,AP72),0)
+IF($AQ$5="CO3",IF(AQ72&lt;&gt;"",AQ72,AR72),0)
+IF($AS$5="CO3",IF(AS72&lt;&gt;"",AS72,AT72),0)</f>
        <v>0</v>
      </c>
      <c r="AZ72" s="29">
        <f t="shared" ref="AZ72:AZ79" si="35">SUMPRODUCT(($E$5:$P$5="CO4")*(E72:P72))
+SUMPRODUCT(($AA$5:$AL$5="CO4")*(AA72:AL72))
+IF($Q$5="CO4",IF(Q72&lt;&gt;"",Q72,R72),0)
+IF($S$5="CO4",IF(S72&lt;&gt;"",S72,T72),0)
+IF($U$5="CO4",IF(U72&lt;&gt;"",U72,V72),0)
+IF($W$5="CO4",IF(W72&lt;&gt;"",W72,X72),0)
+IF($AM$5="CO4",IF(AM72&lt;&gt;"",AM72,AN72),0)
+IF($AO$5="CO4",IF(AO72&lt;&gt;"",AO72,AP72),0)
+IF($AQ$5="CO4",IF(AQ72&lt;&gt;"",AQ72,AR72),0)
+IF($AS$5="CO4",IF(AS72&lt;&gt;"",AS72,AT72),0)</f>
        <v>0</v>
      </c>
      <c r="BA72" s="29">
        <f t="shared" ref="BA72:BA79" si="36">SUMPRODUCT(($E$5:$P$5="CO5")*(E72:P72))
+SUMPRODUCT(($AA$5:$AL$5="CO5")*(AA72:AL72))
+IF($Q$5="CO5",IF(Q72&lt;&gt;"",Q72,R72),0)
+IF($S$5="CO5",IF(S72&lt;&gt;"",S72,T72),0)
+IF($U$5="CO5",IF(U72&lt;&gt;"",U72,V72),0)
+IF($W$5="CO5",IF(W72&lt;&gt;"",W72,X72),0)
+IF($AM$5="CO5",IF(AM72&lt;&gt;"",AM72,AN72),0)
+IF($AO$5="CO5",IF(AO72&lt;&gt;"",AO72,AP72),0)
+IF($AQ$5="CO5",IF(AQ72&lt;&gt;"",AQ72,AR72),0)
+IF($AS$5="CO5",IF(AS72&lt;&gt;"",AS72,AT72),0)</f>
        <v>0</v>
      </c>
      <c r="BB72" s="29">
        <f t="shared" ref="BB72:BB79" si="37">SUMPRODUCT(($E$5:$P$5="CO6")*(E72:P72))
+SUMPRODUCT(($AA$5:$AL$5="CO6")*(AA72:AL72))
+IF($Q$5="CO6",IF(Q72&lt;&gt;"",Q72,R72),0)
+IF($S$5="CO6",IF(S72&lt;&gt;"",S72,T72),0)
+IF($U$5="CO6",IF(U72&lt;&gt;"",U72,V72),0)
+IF($W$5="CO6",IF(W72&lt;&gt;"",W72,X72),0)
+IF($AM$5="CO6",IF(AM72&lt;&gt;"",AM72,AN72),0)
+IF($AO$5="CO6",IF(AO72&lt;&gt;"",AO72,AP72),0)
+IF($AQ$5="CO6",IF(AQ72&lt;&gt;"",AQ72,AR72),0)
+IF($AS$5="CO6",IF(AS72&lt;&gt;"",AS72,AT72),0)</f>
        <v>0</v>
      </c>
      <c r="BD72" s="30"/>
      <c r="BE72" s="30"/>
      <c r="BF72" s="30"/>
      <c r="BG72" s="5"/>
      <c r="BH72" s="5"/>
      <c r="BI72" s="5"/>
      <c r="BJ72" s="25">
        <f t="shared" si="16"/>
        <v>0</v>
      </c>
      <c r="BL72" s="5"/>
      <c r="BM72" s="5"/>
      <c r="BN72" s="5"/>
      <c r="BO72" s="5"/>
      <c r="BP72" s="5"/>
      <c r="BQ72" s="5"/>
      <c r="BR72" s="33">
        <f t="shared" si="29"/>
        <v>0</v>
      </c>
      <c r="BT72" s="36">
        <f t="shared" ref="BT72:BT135" si="38">SUMPRODUCT(($AW$5:$BQ$5="CO1")*AW72:BQ72)</f>
        <v>0</v>
      </c>
      <c r="BU72" s="37">
        <f t="shared" ref="BU72:BU77" si="39">SUMPRODUCT(($AW$5:$BR$5="CO2")*AW72:BR72)</f>
        <v>0</v>
      </c>
      <c r="BV72" s="37">
        <f t="shared" ref="BV72:BV135" si="40">SUMPRODUCT(($AW$5:$BR$5="CO3")*AW72:BR72)</f>
        <v>0</v>
      </c>
      <c r="BW72" s="37">
        <f t="shared" ref="BW72:BW135" si="41">SUMPRODUCT(($AW$5:$BR$5="CO4")*AW72:BR72)</f>
        <v>0</v>
      </c>
      <c r="BX72" s="37">
        <f t="shared" ref="BX72:BX85" si="42">SUMPRODUCT(($AW$5:$BR$5="CO5")*AW72:BR72)</f>
        <v>0</v>
      </c>
      <c r="BY72" s="37">
        <f t="shared" ref="BY72:BY77" si="43">SUMPRODUCT(($AW$5:$BR$5="CO6")*AW72:BR72)</f>
        <v>0</v>
      </c>
      <c r="BZ72" s="33">
        <f t="shared" ref="BZ72:BZ135" si="44">SUM(BT72:BY72)</f>
        <v>0</v>
      </c>
      <c r="CB72" s="38">
        <f t="shared" si="17"/>
        <v>0</v>
      </c>
      <c r="CC72" s="38">
        <f t="shared" si="18"/>
        <v>0</v>
      </c>
      <c r="CD72" s="38">
        <f t="shared" si="19"/>
        <v>0</v>
      </c>
      <c r="CE72" s="38">
        <f t="shared" si="20"/>
        <v>0</v>
      </c>
      <c r="CF72" s="38">
        <f t="shared" si="21"/>
        <v>0</v>
      </c>
      <c r="CG72" s="38">
        <f t="shared" si="22"/>
        <v>0</v>
      </c>
    </row>
    <row r="73" spans="1:85" ht="15.5" x14ac:dyDescent="0.35">
      <c r="A73" s="43">
        <v>66</v>
      </c>
      <c r="B73" s="43"/>
      <c r="C73" s="43"/>
      <c r="D73" s="42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28">
        <f t="shared" si="30"/>
        <v>0</v>
      </c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31">
        <f t="shared" si="31"/>
        <v>0</v>
      </c>
      <c r="AW73" s="29">
        <f t="shared" si="32"/>
        <v>0</v>
      </c>
      <c r="AX73" s="29">
        <f t="shared" si="33"/>
        <v>0</v>
      </c>
      <c r="AY73" s="29">
        <f t="shared" si="34"/>
        <v>0</v>
      </c>
      <c r="AZ73" s="29">
        <f t="shared" si="35"/>
        <v>0</v>
      </c>
      <c r="BA73" s="29">
        <f t="shared" si="36"/>
        <v>0</v>
      </c>
      <c r="BB73" s="29">
        <f t="shared" si="37"/>
        <v>0</v>
      </c>
      <c r="BD73" s="30"/>
      <c r="BE73" s="30"/>
      <c r="BF73" s="30"/>
      <c r="BG73" s="5"/>
      <c r="BH73" s="5"/>
      <c r="BI73" s="5"/>
      <c r="BJ73" s="25">
        <f t="shared" ref="BJ73:BJ131" si="45">SUM(BD73:BI73)</f>
        <v>0</v>
      </c>
      <c r="BL73" s="5"/>
      <c r="BM73" s="5"/>
      <c r="BN73" s="5"/>
      <c r="BO73" s="5"/>
      <c r="BP73" s="5"/>
      <c r="BQ73" s="5"/>
      <c r="BR73" s="33">
        <f t="shared" si="29"/>
        <v>0</v>
      </c>
      <c r="BT73" s="36">
        <f t="shared" si="38"/>
        <v>0</v>
      </c>
      <c r="BU73" s="37">
        <f t="shared" si="39"/>
        <v>0</v>
      </c>
      <c r="BV73" s="37">
        <f t="shared" si="40"/>
        <v>0</v>
      </c>
      <c r="BW73" s="37">
        <f t="shared" si="41"/>
        <v>0</v>
      </c>
      <c r="BX73" s="37">
        <f t="shared" si="42"/>
        <v>0</v>
      </c>
      <c r="BY73" s="37">
        <f t="shared" si="43"/>
        <v>0</v>
      </c>
      <c r="BZ73" s="33">
        <f t="shared" si="44"/>
        <v>0</v>
      </c>
      <c r="CB73" s="38">
        <f t="shared" ref="CB73:CB77" si="46">BT73/$BT$7*100</f>
        <v>0</v>
      </c>
      <c r="CC73" s="38">
        <f t="shared" ref="CC73:CC77" si="47">BU73/$BU$7*100</f>
        <v>0</v>
      </c>
      <c r="CD73" s="38">
        <f t="shared" ref="CD73:CD77" si="48">BV73/$BV$7*100</f>
        <v>0</v>
      </c>
      <c r="CE73" s="38">
        <f t="shared" ref="CE73:CE77" si="49">BW73/$BW$7*100</f>
        <v>0</v>
      </c>
      <c r="CF73" s="38">
        <f t="shared" ref="CF73:CF77" si="50">BX73/$BX$7*100</f>
        <v>0</v>
      </c>
      <c r="CG73" s="38">
        <f t="shared" ref="CG73:CG77" si="51">BY73/$BY$7*100</f>
        <v>0</v>
      </c>
    </row>
    <row r="74" spans="1:85" ht="15.5" x14ac:dyDescent="0.35">
      <c r="A74" s="43">
        <v>67</v>
      </c>
      <c r="B74" s="43"/>
      <c r="C74" s="43"/>
      <c r="D74" s="42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28">
        <f t="shared" si="30"/>
        <v>0</v>
      </c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31">
        <f t="shared" si="31"/>
        <v>0</v>
      </c>
      <c r="AW74" s="29">
        <f t="shared" si="32"/>
        <v>0</v>
      </c>
      <c r="AX74" s="29">
        <f t="shared" si="33"/>
        <v>0</v>
      </c>
      <c r="AY74" s="29">
        <f t="shared" si="34"/>
        <v>0</v>
      </c>
      <c r="AZ74" s="29">
        <f t="shared" si="35"/>
        <v>0</v>
      </c>
      <c r="BA74" s="29">
        <f t="shared" si="36"/>
        <v>0</v>
      </c>
      <c r="BB74" s="29">
        <f t="shared" si="37"/>
        <v>0</v>
      </c>
      <c r="BD74" s="30"/>
      <c r="BE74" s="30"/>
      <c r="BF74" s="30"/>
      <c r="BG74" s="5"/>
      <c r="BH74" s="5"/>
      <c r="BI74" s="5"/>
      <c r="BJ74" s="25">
        <f t="shared" si="45"/>
        <v>0</v>
      </c>
      <c r="BL74" s="5"/>
      <c r="BM74" s="5"/>
      <c r="BN74" s="5"/>
      <c r="BO74" s="5"/>
      <c r="BP74" s="5"/>
      <c r="BQ74" s="5"/>
      <c r="BR74" s="33">
        <f t="shared" si="29"/>
        <v>0</v>
      </c>
      <c r="BT74" s="36">
        <f t="shared" si="38"/>
        <v>0</v>
      </c>
      <c r="BU74" s="37">
        <f t="shared" si="39"/>
        <v>0</v>
      </c>
      <c r="BV74" s="37">
        <f t="shared" si="40"/>
        <v>0</v>
      </c>
      <c r="BW74" s="37">
        <f t="shared" si="41"/>
        <v>0</v>
      </c>
      <c r="BX74" s="37">
        <f t="shared" si="42"/>
        <v>0</v>
      </c>
      <c r="BY74" s="37">
        <f t="shared" si="43"/>
        <v>0</v>
      </c>
      <c r="BZ74" s="33">
        <f t="shared" si="44"/>
        <v>0</v>
      </c>
      <c r="CB74" s="38">
        <f t="shared" si="46"/>
        <v>0</v>
      </c>
      <c r="CC74" s="38">
        <f t="shared" si="47"/>
        <v>0</v>
      </c>
      <c r="CD74" s="38">
        <f t="shared" si="48"/>
        <v>0</v>
      </c>
      <c r="CE74" s="38">
        <f t="shared" si="49"/>
        <v>0</v>
      </c>
      <c r="CF74" s="38">
        <f t="shared" si="50"/>
        <v>0</v>
      </c>
      <c r="CG74" s="38">
        <f t="shared" si="51"/>
        <v>0</v>
      </c>
    </row>
    <row r="75" spans="1:85" ht="15.5" x14ac:dyDescent="0.35">
      <c r="A75" s="43">
        <v>68</v>
      </c>
      <c r="B75" s="43"/>
      <c r="C75" s="43"/>
      <c r="D75" s="42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28">
        <f t="shared" si="30"/>
        <v>0</v>
      </c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31">
        <f t="shared" si="31"/>
        <v>0</v>
      </c>
      <c r="AW75" s="29">
        <f t="shared" si="32"/>
        <v>0</v>
      </c>
      <c r="AX75" s="29">
        <f t="shared" si="33"/>
        <v>0</v>
      </c>
      <c r="AY75" s="29">
        <f t="shared" si="34"/>
        <v>0</v>
      </c>
      <c r="AZ75" s="29">
        <f t="shared" si="35"/>
        <v>0</v>
      </c>
      <c r="BA75" s="29">
        <f t="shared" si="36"/>
        <v>0</v>
      </c>
      <c r="BB75" s="29">
        <f t="shared" si="37"/>
        <v>0</v>
      </c>
      <c r="BD75" s="30"/>
      <c r="BE75" s="30"/>
      <c r="BF75" s="30"/>
      <c r="BG75" s="5"/>
      <c r="BH75" s="5"/>
      <c r="BI75" s="5"/>
      <c r="BJ75" s="25">
        <f t="shared" si="45"/>
        <v>0</v>
      </c>
      <c r="BL75" s="5"/>
      <c r="BM75" s="5"/>
      <c r="BN75" s="5"/>
      <c r="BO75" s="5"/>
      <c r="BP75" s="5"/>
      <c r="BQ75" s="5"/>
      <c r="BR75" s="33">
        <f t="shared" si="29"/>
        <v>0</v>
      </c>
      <c r="BT75" s="36">
        <f t="shared" si="38"/>
        <v>0</v>
      </c>
      <c r="BU75" s="37">
        <f t="shared" si="39"/>
        <v>0</v>
      </c>
      <c r="BV75" s="37">
        <f t="shared" si="40"/>
        <v>0</v>
      </c>
      <c r="BW75" s="37">
        <f t="shared" si="41"/>
        <v>0</v>
      </c>
      <c r="BX75" s="37">
        <f t="shared" si="42"/>
        <v>0</v>
      </c>
      <c r="BY75" s="37">
        <f t="shared" si="43"/>
        <v>0</v>
      </c>
      <c r="BZ75" s="33">
        <f t="shared" si="44"/>
        <v>0</v>
      </c>
      <c r="CB75" s="38">
        <f t="shared" si="46"/>
        <v>0</v>
      </c>
      <c r="CC75" s="38">
        <f t="shared" si="47"/>
        <v>0</v>
      </c>
      <c r="CD75" s="38">
        <f t="shared" si="48"/>
        <v>0</v>
      </c>
      <c r="CE75" s="38">
        <f t="shared" si="49"/>
        <v>0</v>
      </c>
      <c r="CF75" s="38">
        <f t="shared" si="50"/>
        <v>0</v>
      </c>
      <c r="CG75" s="38">
        <f t="shared" si="51"/>
        <v>0</v>
      </c>
    </row>
    <row r="76" spans="1:85" ht="15.5" x14ac:dyDescent="0.35">
      <c r="A76" s="43">
        <v>69</v>
      </c>
      <c r="B76" s="43"/>
      <c r="C76" s="43"/>
      <c r="D76" s="42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28">
        <f t="shared" si="30"/>
        <v>0</v>
      </c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31">
        <f t="shared" si="31"/>
        <v>0</v>
      </c>
      <c r="AW76" s="29">
        <f t="shared" si="32"/>
        <v>0</v>
      </c>
      <c r="AX76" s="29">
        <f t="shared" si="33"/>
        <v>0</v>
      </c>
      <c r="AY76" s="29">
        <f t="shared" si="34"/>
        <v>0</v>
      </c>
      <c r="AZ76" s="29">
        <f t="shared" si="35"/>
        <v>0</v>
      </c>
      <c r="BA76" s="29">
        <f t="shared" si="36"/>
        <v>0</v>
      </c>
      <c r="BB76" s="29">
        <f t="shared" si="37"/>
        <v>0</v>
      </c>
      <c r="BD76" s="30"/>
      <c r="BE76" s="30"/>
      <c r="BF76" s="30"/>
      <c r="BG76" s="5"/>
      <c r="BH76" s="5"/>
      <c r="BI76" s="5"/>
      <c r="BJ76" s="25">
        <f t="shared" si="45"/>
        <v>0</v>
      </c>
      <c r="BL76" s="5"/>
      <c r="BM76" s="5"/>
      <c r="BN76" s="5"/>
      <c r="BO76" s="5"/>
      <c r="BP76" s="5"/>
      <c r="BQ76" s="5"/>
      <c r="BR76" s="33">
        <f t="shared" si="29"/>
        <v>0</v>
      </c>
      <c r="BT76" s="36">
        <f t="shared" si="38"/>
        <v>0</v>
      </c>
      <c r="BU76" s="37">
        <f t="shared" si="39"/>
        <v>0</v>
      </c>
      <c r="BV76" s="37">
        <f t="shared" si="40"/>
        <v>0</v>
      </c>
      <c r="BW76" s="37">
        <f t="shared" si="41"/>
        <v>0</v>
      </c>
      <c r="BX76" s="37">
        <f t="shared" si="42"/>
        <v>0</v>
      </c>
      <c r="BY76" s="37">
        <f t="shared" si="43"/>
        <v>0</v>
      </c>
      <c r="BZ76" s="33">
        <f t="shared" si="44"/>
        <v>0</v>
      </c>
      <c r="CB76" s="38">
        <f t="shared" si="46"/>
        <v>0</v>
      </c>
      <c r="CC76" s="38">
        <f t="shared" si="47"/>
        <v>0</v>
      </c>
      <c r="CD76" s="38">
        <f t="shared" si="48"/>
        <v>0</v>
      </c>
      <c r="CE76" s="38">
        <f t="shared" si="49"/>
        <v>0</v>
      </c>
      <c r="CF76" s="38">
        <f t="shared" si="50"/>
        <v>0</v>
      </c>
      <c r="CG76" s="38">
        <f t="shared" si="51"/>
        <v>0</v>
      </c>
    </row>
    <row r="77" spans="1:85" ht="15.5" x14ac:dyDescent="0.35">
      <c r="A77" s="43">
        <v>70</v>
      </c>
      <c r="B77" s="43"/>
      <c r="C77" s="43"/>
      <c r="D77" s="42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28">
        <f t="shared" si="30"/>
        <v>0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31">
        <f t="shared" si="31"/>
        <v>0</v>
      </c>
      <c r="AW77" s="29">
        <f t="shared" si="32"/>
        <v>0</v>
      </c>
      <c r="AX77" s="29">
        <f t="shared" si="33"/>
        <v>0</v>
      </c>
      <c r="AY77" s="29">
        <f t="shared" si="34"/>
        <v>0</v>
      </c>
      <c r="AZ77" s="29">
        <f t="shared" si="35"/>
        <v>0</v>
      </c>
      <c r="BA77" s="29">
        <f t="shared" si="36"/>
        <v>0</v>
      </c>
      <c r="BB77" s="29">
        <f t="shared" si="37"/>
        <v>0</v>
      </c>
      <c r="BD77" s="30"/>
      <c r="BE77" s="30"/>
      <c r="BF77" s="30"/>
      <c r="BG77" s="5"/>
      <c r="BH77" s="5"/>
      <c r="BI77" s="5"/>
      <c r="BJ77" s="25">
        <f t="shared" si="45"/>
        <v>0</v>
      </c>
      <c r="BL77" s="5"/>
      <c r="BM77" s="5"/>
      <c r="BN77" s="5"/>
      <c r="BO77" s="5"/>
      <c r="BP77" s="5"/>
      <c r="BQ77" s="5"/>
      <c r="BR77" s="33">
        <f t="shared" si="29"/>
        <v>0</v>
      </c>
      <c r="BT77" s="36">
        <f t="shared" si="38"/>
        <v>0</v>
      </c>
      <c r="BU77" s="37">
        <f t="shared" si="39"/>
        <v>0</v>
      </c>
      <c r="BV77" s="37">
        <f t="shared" si="40"/>
        <v>0</v>
      </c>
      <c r="BW77" s="37">
        <f t="shared" si="41"/>
        <v>0</v>
      </c>
      <c r="BX77" s="37">
        <f t="shared" si="42"/>
        <v>0</v>
      </c>
      <c r="BY77" s="37">
        <f t="shared" si="43"/>
        <v>0</v>
      </c>
      <c r="BZ77" s="33">
        <f t="shared" si="44"/>
        <v>0</v>
      </c>
      <c r="CB77" s="38">
        <f t="shared" si="46"/>
        <v>0</v>
      </c>
      <c r="CC77" s="38">
        <f t="shared" si="47"/>
        <v>0</v>
      </c>
      <c r="CD77" s="38">
        <f t="shared" si="48"/>
        <v>0</v>
      </c>
      <c r="CE77" s="38">
        <f t="shared" si="49"/>
        <v>0</v>
      </c>
      <c r="CF77" s="38">
        <f t="shared" si="50"/>
        <v>0</v>
      </c>
      <c r="CG77" s="38">
        <f t="shared" si="51"/>
        <v>0</v>
      </c>
    </row>
    <row r="78" spans="1:85" ht="15.5" x14ac:dyDescent="0.35">
      <c r="A78" s="43">
        <v>71</v>
      </c>
      <c r="B78" s="43"/>
      <c r="C78" s="43"/>
      <c r="D78" s="42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6"/>
      <c r="S78" s="5"/>
      <c r="T78" s="6"/>
      <c r="U78" s="5"/>
      <c r="V78" s="5"/>
      <c r="W78" s="5"/>
      <c r="X78" s="6"/>
      <c r="Y78" s="28">
        <f t="shared" si="30"/>
        <v>0</v>
      </c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6"/>
      <c r="AO78" s="5"/>
      <c r="AP78" s="6"/>
      <c r="AQ78" s="5"/>
      <c r="AR78" s="6"/>
      <c r="AS78" s="6"/>
      <c r="AT78" s="6"/>
      <c r="AU78" s="31">
        <f t="shared" si="31"/>
        <v>0</v>
      </c>
      <c r="AW78" s="29">
        <f t="shared" si="32"/>
        <v>0</v>
      </c>
      <c r="AX78" s="29">
        <f t="shared" si="33"/>
        <v>0</v>
      </c>
      <c r="AY78" s="29">
        <f t="shared" si="34"/>
        <v>0</v>
      </c>
      <c r="AZ78" s="29">
        <f t="shared" si="35"/>
        <v>0</v>
      </c>
      <c r="BA78" s="29">
        <f t="shared" si="36"/>
        <v>0</v>
      </c>
      <c r="BB78" s="29">
        <f t="shared" si="37"/>
        <v>0</v>
      </c>
      <c r="BD78" s="5"/>
      <c r="BE78" s="5"/>
      <c r="BF78" s="5"/>
      <c r="BG78" s="5"/>
      <c r="BH78" s="5"/>
      <c r="BI78" s="5"/>
      <c r="BJ78" s="25">
        <f t="shared" si="45"/>
        <v>0</v>
      </c>
      <c r="BL78" s="5"/>
      <c r="BM78" s="5"/>
      <c r="BN78" s="5"/>
      <c r="BO78" s="5"/>
      <c r="BP78" s="5"/>
      <c r="BQ78" s="5"/>
      <c r="BR78" s="33">
        <f t="shared" si="29"/>
        <v>0</v>
      </c>
      <c r="BT78" s="36">
        <f t="shared" si="38"/>
        <v>0</v>
      </c>
      <c r="BU78" s="33">
        <f t="shared" ref="BU78:BU109" si="52">SUMPRODUCT(($E$5:$BJ$5="CO2")*(ISNUMBER(L78:BQ78))*(L78:BQ78&gt;0), L78:BQ78)</f>
        <v>0</v>
      </c>
      <c r="BV78" s="37">
        <f t="shared" si="40"/>
        <v>0</v>
      </c>
      <c r="BW78" s="37">
        <f t="shared" si="41"/>
        <v>0</v>
      </c>
      <c r="BX78" s="37">
        <f t="shared" si="42"/>
        <v>0</v>
      </c>
      <c r="BY78" s="33">
        <f t="shared" ref="BY78:BY109" si="53">SUMPRODUCT(($E$5:$BJ$5="CO6")*(ISNUMBER(L78:BQ78))*(L78:BQ78&gt;0), L78:BQ78)</f>
        <v>0</v>
      </c>
      <c r="BZ78" s="33">
        <f t="shared" si="44"/>
        <v>0</v>
      </c>
      <c r="CB78" s="38"/>
      <c r="CC78" s="38"/>
      <c r="CD78" s="38"/>
      <c r="CE78" s="38"/>
      <c r="CF78" s="38"/>
      <c r="CG78" s="38"/>
    </row>
    <row r="79" spans="1:85" ht="15.5" x14ac:dyDescent="0.35">
      <c r="A79" s="43">
        <v>72</v>
      </c>
      <c r="B79" s="43"/>
      <c r="C79" s="43"/>
      <c r="D79" s="7"/>
      <c r="L79" s="7"/>
      <c r="N79" s="7"/>
      <c r="O79" s="7"/>
      <c r="P79" s="7"/>
      <c r="Y79" s="28">
        <f t="shared" si="30"/>
        <v>0</v>
      </c>
      <c r="AH79" s="7"/>
      <c r="AJ79" s="7"/>
      <c r="AK79" s="7"/>
      <c r="AL79" s="7"/>
      <c r="AU79" s="31">
        <f t="shared" si="31"/>
        <v>0</v>
      </c>
      <c r="AW79" s="29">
        <f t="shared" si="32"/>
        <v>0</v>
      </c>
      <c r="AX79" s="29">
        <f t="shared" si="33"/>
        <v>0</v>
      </c>
      <c r="AY79" s="29">
        <f t="shared" si="34"/>
        <v>0</v>
      </c>
      <c r="AZ79" s="29">
        <f t="shared" si="35"/>
        <v>0</v>
      </c>
      <c r="BA79" s="29">
        <f t="shared" si="36"/>
        <v>0</v>
      </c>
      <c r="BB79" s="29">
        <f t="shared" si="37"/>
        <v>0</v>
      </c>
      <c r="BD79" s="5"/>
      <c r="BE79" s="5"/>
      <c r="BF79" s="5"/>
      <c r="BG79" s="5"/>
      <c r="BH79" s="5"/>
      <c r="BI79" s="5"/>
      <c r="BJ79" s="25">
        <f t="shared" si="45"/>
        <v>0</v>
      </c>
      <c r="BL79" s="5"/>
      <c r="BM79" s="5"/>
      <c r="BN79" s="5"/>
      <c r="BO79" s="5"/>
      <c r="BP79" s="5"/>
      <c r="BQ79" s="5"/>
      <c r="BR79" s="33">
        <f t="shared" si="29"/>
        <v>0</v>
      </c>
      <c r="BT79" s="36">
        <f t="shared" si="38"/>
        <v>0</v>
      </c>
      <c r="BU79" s="33">
        <f t="shared" si="52"/>
        <v>0</v>
      </c>
      <c r="BV79" s="37">
        <f t="shared" si="40"/>
        <v>0</v>
      </c>
      <c r="BW79" s="37">
        <f t="shared" si="41"/>
        <v>0</v>
      </c>
      <c r="BX79" s="37">
        <f t="shared" si="42"/>
        <v>0</v>
      </c>
      <c r="BY79" s="33">
        <f t="shared" si="53"/>
        <v>0</v>
      </c>
      <c r="BZ79" s="33">
        <f t="shared" si="44"/>
        <v>0</v>
      </c>
      <c r="CB79" s="38"/>
      <c r="CC79" s="38"/>
      <c r="CD79" s="38"/>
      <c r="CE79" s="38"/>
      <c r="CF79" s="38"/>
      <c r="CG79" s="38"/>
    </row>
    <row r="80" spans="1:85" ht="15.5" x14ac:dyDescent="0.35">
      <c r="A80" s="43">
        <v>73</v>
      </c>
      <c r="B80" s="43"/>
      <c r="C80" s="43"/>
      <c r="D80" s="7"/>
      <c r="L80" s="7"/>
      <c r="N80" s="7"/>
      <c r="O80" s="7"/>
      <c r="P80" s="7"/>
      <c r="Y80" s="28">
        <f t="shared" si="30"/>
        <v>0</v>
      </c>
      <c r="AH80" s="7"/>
      <c r="AJ80" s="7"/>
      <c r="AK80" s="7"/>
      <c r="AL80" s="7"/>
      <c r="AU80" s="31">
        <f t="shared" si="31"/>
        <v>0</v>
      </c>
      <c r="BD80" s="5"/>
      <c r="BE80" s="5"/>
      <c r="BF80" s="5"/>
      <c r="BG80" s="5"/>
      <c r="BH80" s="5"/>
      <c r="BI80" s="5"/>
      <c r="BJ80" s="25">
        <f t="shared" si="45"/>
        <v>0</v>
      </c>
      <c r="BL80" s="5"/>
      <c r="BM80" s="5"/>
      <c r="BN80" s="5"/>
      <c r="BO80" s="5"/>
      <c r="BP80" s="5"/>
      <c r="BQ80" s="5"/>
      <c r="BR80" s="33">
        <f t="shared" si="29"/>
        <v>0</v>
      </c>
      <c r="BT80" s="36">
        <f t="shared" si="38"/>
        <v>0</v>
      </c>
      <c r="BU80" s="33">
        <f t="shared" si="52"/>
        <v>0</v>
      </c>
      <c r="BV80" s="37">
        <f t="shared" si="40"/>
        <v>0</v>
      </c>
      <c r="BW80" s="37">
        <f t="shared" si="41"/>
        <v>0</v>
      </c>
      <c r="BX80" s="37">
        <f t="shared" si="42"/>
        <v>0</v>
      </c>
      <c r="BY80" s="33">
        <f t="shared" si="53"/>
        <v>0</v>
      </c>
      <c r="BZ80" s="33">
        <f t="shared" si="44"/>
        <v>0</v>
      </c>
      <c r="CB80" s="38"/>
      <c r="CC80" s="38"/>
      <c r="CD80" s="38"/>
      <c r="CE80" s="38"/>
      <c r="CF80" s="38"/>
      <c r="CG80" s="38"/>
    </row>
    <row r="81" spans="1:85" ht="15.5" x14ac:dyDescent="0.35">
      <c r="A81" s="43">
        <v>74</v>
      </c>
      <c r="B81" s="43"/>
      <c r="C81" s="43"/>
      <c r="D81" s="7"/>
      <c r="L81" s="7"/>
      <c r="N81" s="7"/>
      <c r="O81" s="7"/>
      <c r="P81" s="7"/>
      <c r="Y81" s="28">
        <f t="shared" si="30"/>
        <v>0</v>
      </c>
      <c r="AH81" s="7"/>
      <c r="AJ81" s="7"/>
      <c r="AK81" s="7"/>
      <c r="AL81" s="7"/>
      <c r="AU81" s="31">
        <f t="shared" si="31"/>
        <v>0</v>
      </c>
      <c r="BD81" s="5"/>
      <c r="BE81" s="5"/>
      <c r="BF81" s="5"/>
      <c r="BG81" s="5"/>
      <c r="BH81" s="5"/>
      <c r="BI81" s="5"/>
      <c r="BJ81" s="25">
        <f t="shared" si="45"/>
        <v>0</v>
      </c>
      <c r="BL81" s="5"/>
      <c r="BM81" s="5"/>
      <c r="BN81" s="5"/>
      <c r="BO81" s="5"/>
      <c r="BP81" s="5"/>
      <c r="BQ81" s="5"/>
      <c r="BR81" s="33">
        <f t="shared" si="29"/>
        <v>0</v>
      </c>
      <c r="BT81" s="36">
        <f t="shared" si="38"/>
        <v>0</v>
      </c>
      <c r="BU81" s="33">
        <f t="shared" si="52"/>
        <v>0</v>
      </c>
      <c r="BV81" s="37">
        <f t="shared" si="40"/>
        <v>0</v>
      </c>
      <c r="BW81" s="37">
        <f t="shared" si="41"/>
        <v>0</v>
      </c>
      <c r="BX81" s="37">
        <f t="shared" si="42"/>
        <v>0</v>
      </c>
      <c r="BY81" s="33">
        <f t="shared" si="53"/>
        <v>0</v>
      </c>
      <c r="BZ81" s="33">
        <f t="shared" si="44"/>
        <v>0</v>
      </c>
      <c r="CB81" s="38"/>
      <c r="CC81" s="38"/>
      <c r="CD81" s="38"/>
      <c r="CE81" s="38"/>
      <c r="CF81" s="38"/>
      <c r="CG81" s="38"/>
    </row>
    <row r="82" spans="1:85" ht="15.5" x14ac:dyDescent="0.35">
      <c r="A82" s="43">
        <v>75</v>
      </c>
      <c r="B82" s="43"/>
      <c r="C82" s="43"/>
      <c r="D82" s="7"/>
      <c r="L82" s="7"/>
      <c r="N82" s="7"/>
      <c r="O82" s="7"/>
      <c r="P82" s="7"/>
      <c r="Y82" s="28">
        <f t="shared" si="30"/>
        <v>0</v>
      </c>
      <c r="AH82" s="7"/>
      <c r="AJ82" s="7"/>
      <c r="AK82" s="7"/>
      <c r="AL82" s="7"/>
      <c r="AU82" s="31">
        <f t="shared" si="31"/>
        <v>0</v>
      </c>
      <c r="BD82" s="5"/>
      <c r="BE82" s="5"/>
      <c r="BF82" s="5"/>
      <c r="BG82" s="5"/>
      <c r="BH82" s="5"/>
      <c r="BI82" s="5"/>
      <c r="BJ82" s="25">
        <f t="shared" si="45"/>
        <v>0</v>
      </c>
      <c r="BL82" s="5"/>
      <c r="BM82" s="5"/>
      <c r="BN82" s="5"/>
      <c r="BO82" s="5"/>
      <c r="BP82" s="5"/>
      <c r="BQ82" s="5"/>
      <c r="BR82" s="33">
        <f t="shared" si="29"/>
        <v>0</v>
      </c>
      <c r="BT82" s="36">
        <f t="shared" si="38"/>
        <v>0</v>
      </c>
      <c r="BU82" s="33">
        <f t="shared" si="52"/>
        <v>0</v>
      </c>
      <c r="BV82" s="37">
        <f t="shared" si="40"/>
        <v>0</v>
      </c>
      <c r="BW82" s="37">
        <f t="shared" si="41"/>
        <v>0</v>
      </c>
      <c r="BX82" s="37">
        <f t="shared" si="42"/>
        <v>0</v>
      </c>
      <c r="BY82" s="33">
        <f t="shared" si="53"/>
        <v>0</v>
      </c>
      <c r="BZ82" s="33">
        <f t="shared" si="44"/>
        <v>0</v>
      </c>
      <c r="CB82" s="38"/>
      <c r="CC82" s="38"/>
      <c r="CD82" s="38"/>
      <c r="CE82" s="38"/>
      <c r="CF82" s="38"/>
      <c r="CG82" s="38"/>
    </row>
    <row r="83" spans="1:85" ht="15.5" x14ac:dyDescent="0.35">
      <c r="A83" s="43">
        <v>76</v>
      </c>
      <c r="B83" s="43"/>
      <c r="C83" s="43"/>
      <c r="D83" s="7"/>
      <c r="L83" s="7"/>
      <c r="N83" s="7"/>
      <c r="O83" s="7"/>
      <c r="P83" s="7"/>
      <c r="Y83" s="28">
        <f t="shared" si="30"/>
        <v>0</v>
      </c>
      <c r="AH83" s="7"/>
      <c r="AJ83" s="7"/>
      <c r="AK83" s="7"/>
      <c r="AL83" s="7"/>
      <c r="AU83" s="31">
        <f t="shared" si="31"/>
        <v>0</v>
      </c>
      <c r="BD83" s="5"/>
      <c r="BE83" s="5"/>
      <c r="BF83" s="5"/>
      <c r="BG83" s="5"/>
      <c r="BH83" s="5"/>
      <c r="BI83" s="5"/>
      <c r="BJ83" s="25">
        <f t="shared" si="45"/>
        <v>0</v>
      </c>
      <c r="BL83" s="5"/>
      <c r="BM83" s="5"/>
      <c r="BN83" s="5"/>
      <c r="BO83" s="5"/>
      <c r="BP83" s="5"/>
      <c r="BQ83" s="5"/>
      <c r="BR83" s="33">
        <f t="shared" si="29"/>
        <v>0</v>
      </c>
      <c r="BT83" s="36">
        <f t="shared" si="38"/>
        <v>0</v>
      </c>
      <c r="BU83" s="33">
        <f t="shared" si="52"/>
        <v>0</v>
      </c>
      <c r="BV83" s="37">
        <f t="shared" si="40"/>
        <v>0</v>
      </c>
      <c r="BW83" s="37">
        <f t="shared" si="41"/>
        <v>0</v>
      </c>
      <c r="BX83" s="37">
        <f t="shared" si="42"/>
        <v>0</v>
      </c>
      <c r="BY83" s="33">
        <f t="shared" si="53"/>
        <v>0</v>
      </c>
      <c r="BZ83" s="33">
        <f t="shared" si="44"/>
        <v>0</v>
      </c>
      <c r="CB83" s="38"/>
      <c r="CC83" s="38"/>
      <c r="CD83" s="38"/>
      <c r="CE83" s="38"/>
      <c r="CF83" s="38"/>
      <c r="CG83" s="38"/>
    </row>
    <row r="84" spans="1:85" ht="15.5" x14ac:dyDescent="0.35">
      <c r="A84" s="43">
        <v>77</v>
      </c>
      <c r="B84" s="43"/>
      <c r="C84" s="43"/>
      <c r="D84" s="7"/>
      <c r="L84" s="7"/>
      <c r="N84" s="7"/>
      <c r="O84" s="7"/>
      <c r="P84" s="7"/>
      <c r="Y84" s="28">
        <f t="shared" si="30"/>
        <v>0</v>
      </c>
      <c r="AH84" s="7"/>
      <c r="AJ84" s="7"/>
      <c r="AK84" s="7"/>
      <c r="AL84" s="7"/>
      <c r="AU84" s="31">
        <f t="shared" si="31"/>
        <v>0</v>
      </c>
      <c r="BD84" s="5"/>
      <c r="BE84" s="5"/>
      <c r="BF84" s="5"/>
      <c r="BG84" s="5"/>
      <c r="BH84" s="5"/>
      <c r="BI84" s="5"/>
      <c r="BJ84" s="25">
        <f t="shared" si="45"/>
        <v>0</v>
      </c>
      <c r="BL84" s="5"/>
      <c r="BM84" s="5"/>
      <c r="BN84" s="5"/>
      <c r="BO84" s="5"/>
      <c r="BP84" s="5"/>
      <c r="BQ84" s="5"/>
      <c r="BR84" s="33">
        <f t="shared" si="29"/>
        <v>0</v>
      </c>
      <c r="BT84" s="36">
        <f t="shared" si="38"/>
        <v>0</v>
      </c>
      <c r="BU84" s="33">
        <f t="shared" si="52"/>
        <v>0</v>
      </c>
      <c r="BV84" s="37">
        <f t="shared" si="40"/>
        <v>0</v>
      </c>
      <c r="BW84" s="37">
        <f t="shared" si="41"/>
        <v>0</v>
      </c>
      <c r="BX84" s="37">
        <f t="shared" si="42"/>
        <v>0</v>
      </c>
      <c r="BY84" s="33">
        <f t="shared" si="53"/>
        <v>0</v>
      </c>
      <c r="BZ84" s="33">
        <f t="shared" si="44"/>
        <v>0</v>
      </c>
      <c r="CB84" s="38"/>
      <c r="CC84" s="38"/>
      <c r="CD84" s="38"/>
      <c r="CE84" s="38"/>
      <c r="CF84" s="38"/>
      <c r="CG84" s="38"/>
    </row>
    <row r="85" spans="1:85" ht="15.5" x14ac:dyDescent="0.35">
      <c r="A85" s="43">
        <v>78</v>
      </c>
      <c r="B85" s="43"/>
      <c r="C85" s="43"/>
      <c r="D85" s="7"/>
      <c r="L85" s="7"/>
      <c r="N85" s="7"/>
      <c r="O85" s="7"/>
      <c r="P85" s="7"/>
      <c r="Y85" s="28">
        <f t="shared" si="30"/>
        <v>0</v>
      </c>
      <c r="AH85" s="7"/>
      <c r="AJ85" s="7"/>
      <c r="AK85" s="7"/>
      <c r="AL85" s="7"/>
      <c r="AU85" s="31">
        <f t="shared" si="31"/>
        <v>0</v>
      </c>
      <c r="BD85" s="5"/>
      <c r="BE85" s="5"/>
      <c r="BF85" s="5"/>
      <c r="BG85" s="5"/>
      <c r="BH85" s="5"/>
      <c r="BI85" s="5"/>
      <c r="BJ85" s="25">
        <f t="shared" si="45"/>
        <v>0</v>
      </c>
      <c r="BL85" s="5"/>
      <c r="BM85" s="5"/>
      <c r="BN85" s="5"/>
      <c r="BO85" s="5"/>
      <c r="BP85" s="5"/>
      <c r="BQ85" s="5"/>
      <c r="BR85" s="33">
        <f t="shared" si="29"/>
        <v>0</v>
      </c>
      <c r="BT85" s="36">
        <f t="shared" si="38"/>
        <v>0</v>
      </c>
      <c r="BU85" s="33">
        <f t="shared" si="52"/>
        <v>0</v>
      </c>
      <c r="BV85" s="37">
        <f t="shared" si="40"/>
        <v>0</v>
      </c>
      <c r="BW85" s="37">
        <f t="shared" si="41"/>
        <v>0</v>
      </c>
      <c r="BX85" s="37">
        <f t="shared" si="42"/>
        <v>0</v>
      </c>
      <c r="BY85" s="33">
        <f t="shared" si="53"/>
        <v>0</v>
      </c>
      <c r="BZ85" s="33">
        <f t="shared" si="44"/>
        <v>0</v>
      </c>
      <c r="CB85" s="38"/>
      <c r="CC85" s="38"/>
      <c r="CD85" s="38"/>
      <c r="CE85" s="38"/>
      <c r="CF85" s="38"/>
      <c r="CG85" s="38"/>
    </row>
    <row r="86" spans="1:85" ht="15.5" x14ac:dyDescent="0.35">
      <c r="A86" s="43">
        <v>79</v>
      </c>
      <c r="B86" s="43"/>
      <c r="C86" s="43"/>
      <c r="D86" s="7"/>
      <c r="L86" s="7"/>
      <c r="N86" s="7"/>
      <c r="O86" s="7"/>
      <c r="P86" s="7"/>
      <c r="Y86" s="28">
        <f t="shared" si="30"/>
        <v>0</v>
      </c>
      <c r="AH86" s="7"/>
      <c r="AJ86" s="7"/>
      <c r="AK86" s="7"/>
      <c r="AL86" s="7"/>
      <c r="AU86" s="31">
        <f t="shared" si="31"/>
        <v>0</v>
      </c>
      <c r="BD86" s="5"/>
      <c r="BE86" s="5"/>
      <c r="BF86" s="5"/>
      <c r="BG86" s="5"/>
      <c r="BH86" s="5"/>
      <c r="BI86" s="5"/>
      <c r="BJ86" s="25">
        <f t="shared" si="45"/>
        <v>0</v>
      </c>
      <c r="BL86" s="5"/>
      <c r="BM86" s="5"/>
      <c r="BN86" s="5"/>
      <c r="BO86" s="5"/>
      <c r="BP86" s="5"/>
      <c r="BQ86" s="5"/>
      <c r="BR86" s="33">
        <f t="shared" si="29"/>
        <v>0</v>
      </c>
      <c r="BT86" s="36">
        <f t="shared" si="38"/>
        <v>0</v>
      </c>
      <c r="BU86" s="33">
        <f t="shared" si="52"/>
        <v>0</v>
      </c>
      <c r="BV86" s="37">
        <f t="shared" si="40"/>
        <v>0</v>
      </c>
      <c r="BW86" s="37">
        <f t="shared" si="41"/>
        <v>0</v>
      </c>
      <c r="BX86" s="33">
        <f t="shared" ref="BX86:BX117" si="54">SUMPRODUCT(($E$5:$BJ$5="CO5")*(ISNUMBER(L86:BQ86))*(L86:BQ86&gt;0), L86:BQ86)</f>
        <v>0</v>
      </c>
      <c r="BY86" s="33">
        <f t="shared" si="53"/>
        <v>0</v>
      </c>
      <c r="BZ86" s="33">
        <f t="shared" si="44"/>
        <v>0</v>
      </c>
      <c r="CB86" s="38"/>
      <c r="CC86" s="38"/>
      <c r="CD86" s="38"/>
      <c r="CE86" s="38"/>
      <c r="CF86" s="38"/>
      <c r="CG86" s="38"/>
    </row>
    <row r="87" spans="1:85" ht="15.5" x14ac:dyDescent="0.35">
      <c r="A87" s="43">
        <v>80</v>
      </c>
      <c r="B87" s="43"/>
      <c r="C87" s="43"/>
      <c r="D87" s="7"/>
      <c r="L87" s="7"/>
      <c r="N87" s="7"/>
      <c r="O87" s="7"/>
      <c r="P87" s="7"/>
      <c r="Y87" s="28">
        <f t="shared" si="30"/>
        <v>0</v>
      </c>
      <c r="AH87" s="7"/>
      <c r="AJ87" s="7"/>
      <c r="AK87" s="7"/>
      <c r="AL87" s="7"/>
      <c r="AU87" s="31">
        <f t="shared" si="31"/>
        <v>0</v>
      </c>
      <c r="BD87" s="5"/>
      <c r="BE87" s="5"/>
      <c r="BF87" s="5"/>
      <c r="BG87" s="5"/>
      <c r="BH87" s="5"/>
      <c r="BI87" s="5"/>
      <c r="BJ87" s="25">
        <f t="shared" si="45"/>
        <v>0</v>
      </c>
      <c r="BL87" s="5"/>
      <c r="BM87" s="5"/>
      <c r="BN87" s="5"/>
      <c r="BO87" s="5"/>
      <c r="BP87" s="5"/>
      <c r="BQ87" s="5"/>
      <c r="BR87" s="33">
        <f t="shared" si="29"/>
        <v>0</v>
      </c>
      <c r="BT87" s="36">
        <f t="shared" si="38"/>
        <v>0</v>
      </c>
      <c r="BU87" s="33">
        <f t="shared" si="52"/>
        <v>0</v>
      </c>
      <c r="BV87" s="37">
        <f t="shared" si="40"/>
        <v>0</v>
      </c>
      <c r="BW87" s="37">
        <f t="shared" si="41"/>
        <v>0</v>
      </c>
      <c r="BX87" s="33">
        <f t="shared" si="54"/>
        <v>0</v>
      </c>
      <c r="BY87" s="33">
        <f t="shared" si="53"/>
        <v>0</v>
      </c>
      <c r="BZ87" s="33">
        <f t="shared" si="44"/>
        <v>0</v>
      </c>
      <c r="CB87" s="38"/>
      <c r="CC87" s="38"/>
      <c r="CD87" s="38"/>
      <c r="CE87" s="38"/>
      <c r="CF87" s="38"/>
      <c r="CG87" s="38"/>
    </row>
    <row r="88" spans="1:85" ht="15.5" x14ac:dyDescent="0.35">
      <c r="A88" s="43">
        <v>81</v>
      </c>
      <c r="B88" s="43"/>
      <c r="C88" s="43"/>
      <c r="D88" s="7"/>
      <c r="L88" s="7"/>
      <c r="N88" s="7"/>
      <c r="O88" s="7"/>
      <c r="P88" s="7"/>
      <c r="Y88" s="24"/>
      <c r="AH88" s="7"/>
      <c r="AJ88" s="7"/>
      <c r="AK88" s="7"/>
      <c r="AL88" s="7"/>
      <c r="AU88" s="31">
        <f t="shared" si="31"/>
        <v>0</v>
      </c>
      <c r="BD88" s="5"/>
      <c r="BE88" s="5"/>
      <c r="BF88" s="5"/>
      <c r="BG88" s="5"/>
      <c r="BH88" s="5"/>
      <c r="BI88" s="5"/>
      <c r="BJ88" s="25">
        <f t="shared" si="45"/>
        <v>0</v>
      </c>
      <c r="BL88" s="5"/>
      <c r="BM88" s="5"/>
      <c r="BN88" s="5"/>
      <c r="BO88" s="5"/>
      <c r="BP88" s="5"/>
      <c r="BQ88" s="5"/>
      <c r="BR88" s="33">
        <f t="shared" si="29"/>
        <v>0</v>
      </c>
      <c r="BT88" s="36">
        <f t="shared" si="38"/>
        <v>0</v>
      </c>
      <c r="BU88" s="33">
        <f t="shared" si="52"/>
        <v>0</v>
      </c>
      <c r="BV88" s="37">
        <f t="shared" si="40"/>
        <v>0</v>
      </c>
      <c r="BW88" s="37">
        <f t="shared" si="41"/>
        <v>0</v>
      </c>
      <c r="BX88" s="33">
        <f t="shared" si="54"/>
        <v>0</v>
      </c>
      <c r="BY88" s="33">
        <f t="shared" si="53"/>
        <v>0</v>
      </c>
      <c r="BZ88" s="33">
        <f t="shared" si="44"/>
        <v>0</v>
      </c>
      <c r="CB88" s="38"/>
      <c r="CC88" s="38"/>
      <c r="CD88" s="38"/>
      <c r="CE88" s="38"/>
      <c r="CF88" s="38"/>
      <c r="CG88" s="38"/>
    </row>
    <row r="89" spans="1:85" ht="15.5" x14ac:dyDescent="0.35">
      <c r="A89" s="43">
        <v>82</v>
      </c>
      <c r="B89" s="43"/>
      <c r="C89" s="43"/>
      <c r="D89" s="7"/>
      <c r="L89" s="7"/>
      <c r="N89" s="7"/>
      <c r="O89" s="7"/>
      <c r="P89" s="7"/>
      <c r="Y89" s="24"/>
      <c r="AH89" s="7"/>
      <c r="AJ89" s="7"/>
      <c r="AK89" s="7"/>
      <c r="AL89" s="7"/>
      <c r="AU89" s="31">
        <f t="shared" si="31"/>
        <v>0</v>
      </c>
      <c r="BD89" s="5"/>
      <c r="BE89" s="5"/>
      <c r="BF89" s="5"/>
      <c r="BG89" s="5"/>
      <c r="BH89" s="5"/>
      <c r="BI89" s="5"/>
      <c r="BJ89" s="25">
        <f t="shared" si="45"/>
        <v>0</v>
      </c>
      <c r="BL89" s="5"/>
      <c r="BM89" s="5"/>
      <c r="BN89" s="5"/>
      <c r="BO89" s="5"/>
      <c r="BP89" s="5"/>
      <c r="BQ89" s="5"/>
      <c r="BR89" s="33">
        <f t="shared" si="29"/>
        <v>0</v>
      </c>
      <c r="BT89" s="36">
        <f t="shared" si="38"/>
        <v>0</v>
      </c>
      <c r="BU89" s="33">
        <f t="shared" si="52"/>
        <v>0</v>
      </c>
      <c r="BV89" s="37">
        <f t="shared" si="40"/>
        <v>0</v>
      </c>
      <c r="BW89" s="37">
        <f t="shared" si="41"/>
        <v>0</v>
      </c>
      <c r="BX89" s="33">
        <f t="shared" si="54"/>
        <v>0</v>
      </c>
      <c r="BY89" s="33">
        <f t="shared" si="53"/>
        <v>0</v>
      </c>
      <c r="BZ89" s="33">
        <f t="shared" si="44"/>
        <v>0</v>
      </c>
      <c r="CB89" s="38"/>
      <c r="CC89" s="38"/>
      <c r="CD89" s="38"/>
      <c r="CE89" s="38"/>
      <c r="CF89" s="38"/>
      <c r="CG89" s="38"/>
    </row>
    <row r="90" spans="1:85" ht="15.5" x14ac:dyDescent="0.35">
      <c r="A90" s="43">
        <v>83</v>
      </c>
      <c r="B90" s="43"/>
      <c r="C90" s="43"/>
      <c r="D90" s="7"/>
      <c r="L90" s="7"/>
      <c r="N90" s="7"/>
      <c r="O90" s="7"/>
      <c r="P90" s="7"/>
      <c r="Y90" s="24"/>
      <c r="AH90" s="7"/>
      <c r="AJ90" s="7"/>
      <c r="AK90" s="7"/>
      <c r="AL90" s="7"/>
      <c r="AU90" s="31">
        <f t="shared" si="31"/>
        <v>0</v>
      </c>
      <c r="BD90" s="5"/>
      <c r="BE90" s="5"/>
      <c r="BF90" s="5"/>
      <c r="BG90" s="5"/>
      <c r="BH90" s="5"/>
      <c r="BI90" s="5"/>
      <c r="BJ90" s="25">
        <f t="shared" si="45"/>
        <v>0</v>
      </c>
      <c r="BL90" s="5"/>
      <c r="BM90" s="5"/>
      <c r="BN90" s="5"/>
      <c r="BO90" s="5"/>
      <c r="BP90" s="5"/>
      <c r="BQ90" s="5"/>
      <c r="BR90" s="33">
        <f t="shared" si="29"/>
        <v>0</v>
      </c>
      <c r="BT90" s="36">
        <f t="shared" si="38"/>
        <v>0</v>
      </c>
      <c r="BU90" s="33">
        <f t="shared" si="52"/>
        <v>0</v>
      </c>
      <c r="BV90" s="37">
        <f t="shared" si="40"/>
        <v>0</v>
      </c>
      <c r="BW90" s="37">
        <f t="shared" si="41"/>
        <v>0</v>
      </c>
      <c r="BX90" s="33">
        <f t="shared" si="54"/>
        <v>0</v>
      </c>
      <c r="BY90" s="33">
        <f t="shared" si="53"/>
        <v>0</v>
      </c>
      <c r="BZ90" s="33">
        <f t="shared" si="44"/>
        <v>0</v>
      </c>
      <c r="CB90" s="38"/>
      <c r="CC90" s="38"/>
      <c r="CD90" s="38"/>
      <c r="CE90" s="38"/>
      <c r="CF90" s="38"/>
      <c r="CG90" s="38"/>
    </row>
    <row r="91" spans="1:85" ht="15.5" x14ac:dyDescent="0.35">
      <c r="A91" s="43">
        <v>84</v>
      </c>
      <c r="B91" s="43"/>
      <c r="C91" s="43"/>
      <c r="D91" s="7"/>
      <c r="L91" s="7"/>
      <c r="N91" s="7"/>
      <c r="O91" s="7"/>
      <c r="P91" s="7"/>
      <c r="Y91" s="24"/>
      <c r="AH91" s="7"/>
      <c r="AJ91" s="7"/>
      <c r="AK91" s="7"/>
      <c r="AL91" s="7"/>
      <c r="AU91" s="31">
        <f t="shared" si="31"/>
        <v>0</v>
      </c>
      <c r="BD91" s="5"/>
      <c r="BE91" s="5"/>
      <c r="BF91" s="5"/>
      <c r="BG91" s="5"/>
      <c r="BH91" s="5"/>
      <c r="BI91" s="5"/>
      <c r="BJ91" s="25">
        <f t="shared" si="45"/>
        <v>0</v>
      </c>
      <c r="BL91" s="5"/>
      <c r="BM91" s="5"/>
      <c r="BN91" s="5"/>
      <c r="BO91" s="5"/>
      <c r="BP91" s="5"/>
      <c r="BQ91" s="5"/>
      <c r="BR91" s="33">
        <f t="shared" si="29"/>
        <v>0</v>
      </c>
      <c r="BT91" s="36">
        <f t="shared" si="38"/>
        <v>0</v>
      </c>
      <c r="BU91" s="33">
        <f t="shared" si="52"/>
        <v>0</v>
      </c>
      <c r="BV91" s="37">
        <f t="shared" si="40"/>
        <v>0</v>
      </c>
      <c r="BW91" s="37">
        <f t="shared" si="41"/>
        <v>0</v>
      </c>
      <c r="BX91" s="33">
        <f t="shared" si="54"/>
        <v>0</v>
      </c>
      <c r="BY91" s="33">
        <f t="shared" si="53"/>
        <v>0</v>
      </c>
      <c r="BZ91" s="33">
        <f t="shared" si="44"/>
        <v>0</v>
      </c>
      <c r="CB91" s="38"/>
      <c r="CC91" s="38"/>
      <c r="CD91" s="38"/>
      <c r="CE91" s="38"/>
      <c r="CF91" s="38"/>
      <c r="CG91" s="38"/>
    </row>
    <row r="92" spans="1:85" ht="15.5" x14ac:dyDescent="0.35">
      <c r="A92" s="43">
        <v>85</v>
      </c>
      <c r="B92" s="43"/>
      <c r="C92" s="43"/>
      <c r="D92" s="7"/>
      <c r="L92" s="7"/>
      <c r="N92" s="7"/>
      <c r="O92" s="7"/>
      <c r="P92" s="7"/>
      <c r="Y92" s="24"/>
      <c r="AH92" s="7"/>
      <c r="AJ92" s="7"/>
      <c r="AK92" s="7"/>
      <c r="AL92" s="7"/>
      <c r="AU92" s="31">
        <f t="shared" si="31"/>
        <v>0</v>
      </c>
      <c r="BD92" s="5"/>
      <c r="BE92" s="5"/>
      <c r="BF92" s="5"/>
      <c r="BG92" s="5"/>
      <c r="BH92" s="5"/>
      <c r="BI92" s="5"/>
      <c r="BJ92" s="25">
        <f t="shared" si="45"/>
        <v>0</v>
      </c>
      <c r="BL92" s="5"/>
      <c r="BM92" s="5"/>
      <c r="BN92" s="5"/>
      <c r="BO92" s="5"/>
      <c r="BP92" s="5"/>
      <c r="BQ92" s="5"/>
      <c r="BR92" s="33">
        <f t="shared" si="29"/>
        <v>0</v>
      </c>
      <c r="BT92" s="36">
        <f t="shared" si="38"/>
        <v>0</v>
      </c>
      <c r="BU92" s="33">
        <f t="shared" si="52"/>
        <v>0</v>
      </c>
      <c r="BV92" s="37">
        <f t="shared" si="40"/>
        <v>0</v>
      </c>
      <c r="BW92" s="37">
        <f t="shared" si="41"/>
        <v>0</v>
      </c>
      <c r="BX92" s="33">
        <f t="shared" si="54"/>
        <v>0</v>
      </c>
      <c r="BY92" s="33">
        <f t="shared" si="53"/>
        <v>0</v>
      </c>
      <c r="BZ92" s="33">
        <f t="shared" si="44"/>
        <v>0</v>
      </c>
      <c r="CB92" s="38"/>
      <c r="CC92" s="38"/>
      <c r="CD92" s="38"/>
      <c r="CE92" s="38"/>
      <c r="CF92" s="38"/>
      <c r="CG92" s="38"/>
    </row>
    <row r="93" spans="1:85" ht="15.5" x14ac:dyDescent="0.35">
      <c r="A93" s="43">
        <v>86</v>
      </c>
      <c r="B93" s="43"/>
      <c r="C93" s="43"/>
      <c r="D93" s="7"/>
      <c r="L93" s="7"/>
      <c r="N93" s="7"/>
      <c r="O93" s="7"/>
      <c r="P93" s="7"/>
      <c r="Y93" s="24"/>
      <c r="AH93" s="7"/>
      <c r="AJ93" s="7"/>
      <c r="AK93" s="7"/>
      <c r="AL93" s="7"/>
      <c r="AU93" s="31">
        <f t="shared" si="31"/>
        <v>0</v>
      </c>
      <c r="BD93" s="5"/>
      <c r="BE93" s="5"/>
      <c r="BF93" s="5"/>
      <c r="BG93" s="5"/>
      <c r="BH93" s="5"/>
      <c r="BI93" s="5"/>
      <c r="BJ93" s="25">
        <f t="shared" si="45"/>
        <v>0</v>
      </c>
      <c r="BL93" s="5"/>
      <c r="BM93" s="5"/>
      <c r="BN93" s="5"/>
      <c r="BO93" s="5"/>
      <c r="BP93" s="5"/>
      <c r="BQ93" s="5"/>
      <c r="BR93" s="33">
        <f t="shared" si="29"/>
        <v>0</v>
      </c>
      <c r="BT93" s="36">
        <f t="shared" si="38"/>
        <v>0</v>
      </c>
      <c r="BU93" s="33">
        <f t="shared" si="52"/>
        <v>0</v>
      </c>
      <c r="BV93" s="37">
        <f t="shared" si="40"/>
        <v>0</v>
      </c>
      <c r="BW93" s="37">
        <f t="shared" si="41"/>
        <v>0</v>
      </c>
      <c r="BX93" s="33">
        <f t="shared" si="54"/>
        <v>0</v>
      </c>
      <c r="BY93" s="33">
        <f t="shared" si="53"/>
        <v>0</v>
      </c>
      <c r="BZ93" s="33">
        <f t="shared" si="44"/>
        <v>0</v>
      </c>
      <c r="CB93" s="38"/>
      <c r="CC93" s="38"/>
      <c r="CD93" s="38"/>
      <c r="CE93" s="38"/>
      <c r="CF93" s="38"/>
      <c r="CG93" s="38"/>
    </row>
    <row r="94" spans="1:85" ht="15.5" x14ac:dyDescent="0.35">
      <c r="A94" s="43">
        <v>87</v>
      </c>
      <c r="B94" s="43"/>
      <c r="C94" s="43"/>
      <c r="D94" s="7"/>
      <c r="L94" s="7"/>
      <c r="N94" s="7"/>
      <c r="O94" s="7"/>
      <c r="P94" s="7"/>
      <c r="Y94" s="24"/>
      <c r="AH94" s="7"/>
      <c r="AJ94" s="7"/>
      <c r="AK94" s="7"/>
      <c r="AL94" s="7"/>
      <c r="AU94" s="31">
        <f t="shared" si="31"/>
        <v>0</v>
      </c>
      <c r="BD94" s="5"/>
      <c r="BE94" s="5"/>
      <c r="BF94" s="5"/>
      <c r="BG94" s="5"/>
      <c r="BH94" s="5"/>
      <c r="BI94" s="5"/>
      <c r="BJ94" s="25">
        <f t="shared" si="45"/>
        <v>0</v>
      </c>
      <c r="BL94" s="5"/>
      <c r="BM94" s="5"/>
      <c r="BN94" s="5"/>
      <c r="BO94" s="5"/>
      <c r="BP94" s="5"/>
      <c r="BQ94" s="5"/>
      <c r="BR94" s="33">
        <f t="shared" si="29"/>
        <v>0</v>
      </c>
      <c r="BT94" s="36">
        <f t="shared" si="38"/>
        <v>0</v>
      </c>
      <c r="BU94" s="33">
        <f t="shared" si="52"/>
        <v>0</v>
      </c>
      <c r="BV94" s="37">
        <f t="shared" si="40"/>
        <v>0</v>
      </c>
      <c r="BW94" s="37">
        <f t="shared" si="41"/>
        <v>0</v>
      </c>
      <c r="BX94" s="33">
        <f t="shared" si="54"/>
        <v>0</v>
      </c>
      <c r="BY94" s="33">
        <f t="shared" si="53"/>
        <v>0</v>
      </c>
      <c r="BZ94" s="33">
        <f t="shared" si="44"/>
        <v>0</v>
      </c>
      <c r="CB94" s="38"/>
      <c r="CC94" s="38"/>
      <c r="CD94" s="38"/>
      <c r="CE94" s="38"/>
      <c r="CF94" s="38"/>
      <c r="CG94" s="38"/>
    </row>
    <row r="95" spans="1:85" ht="15.5" x14ac:dyDescent="0.35">
      <c r="A95" s="43">
        <v>88</v>
      </c>
      <c r="B95" s="43"/>
      <c r="C95" s="43"/>
      <c r="D95" s="7"/>
      <c r="L95" s="7"/>
      <c r="N95" s="7"/>
      <c r="O95" s="7"/>
      <c r="P95" s="7"/>
      <c r="Y95" s="24"/>
      <c r="AH95" s="7"/>
      <c r="AJ95" s="7"/>
      <c r="AK95" s="7"/>
      <c r="AL95" s="7"/>
      <c r="AU95" s="31">
        <f t="shared" si="31"/>
        <v>0</v>
      </c>
      <c r="BD95" s="5"/>
      <c r="BE95" s="5"/>
      <c r="BF95" s="5"/>
      <c r="BG95" s="5"/>
      <c r="BH95" s="5"/>
      <c r="BI95" s="5"/>
      <c r="BJ95" s="25">
        <f t="shared" si="45"/>
        <v>0</v>
      </c>
      <c r="BL95" s="5"/>
      <c r="BM95" s="5"/>
      <c r="BN95" s="5"/>
      <c r="BO95" s="5"/>
      <c r="BP95" s="5"/>
      <c r="BQ95" s="5"/>
      <c r="BR95" s="33">
        <f t="shared" si="29"/>
        <v>0</v>
      </c>
      <c r="BT95" s="36">
        <f t="shared" si="38"/>
        <v>0</v>
      </c>
      <c r="BU95" s="33">
        <f t="shared" si="52"/>
        <v>0</v>
      </c>
      <c r="BV95" s="37">
        <f t="shared" si="40"/>
        <v>0</v>
      </c>
      <c r="BW95" s="37">
        <f t="shared" si="41"/>
        <v>0</v>
      </c>
      <c r="BX95" s="33">
        <f t="shared" si="54"/>
        <v>0</v>
      </c>
      <c r="BY95" s="33">
        <f t="shared" si="53"/>
        <v>0</v>
      </c>
      <c r="BZ95" s="33">
        <f t="shared" si="44"/>
        <v>0</v>
      </c>
      <c r="CB95" s="38"/>
      <c r="CC95" s="38"/>
      <c r="CD95" s="38"/>
      <c r="CE95" s="38"/>
      <c r="CF95" s="38"/>
      <c r="CG95" s="38"/>
    </row>
    <row r="96" spans="1:85" ht="15.5" x14ac:dyDescent="0.35">
      <c r="A96" s="43">
        <v>89</v>
      </c>
      <c r="B96" s="43"/>
      <c r="C96" s="43"/>
      <c r="D96" s="7"/>
      <c r="L96" s="7"/>
      <c r="N96" s="7"/>
      <c r="O96" s="7"/>
      <c r="P96" s="7"/>
      <c r="Y96" s="24"/>
      <c r="AH96" s="7"/>
      <c r="AJ96" s="7"/>
      <c r="AK96" s="7"/>
      <c r="AL96" s="7"/>
      <c r="AU96" s="31">
        <f t="shared" si="31"/>
        <v>0</v>
      </c>
      <c r="BD96" s="5"/>
      <c r="BE96" s="5"/>
      <c r="BF96" s="5"/>
      <c r="BG96" s="5"/>
      <c r="BH96" s="5"/>
      <c r="BI96" s="5"/>
      <c r="BJ96" s="25">
        <f t="shared" si="45"/>
        <v>0</v>
      </c>
      <c r="BL96" s="5"/>
      <c r="BM96" s="5"/>
      <c r="BN96" s="5"/>
      <c r="BO96" s="5"/>
      <c r="BP96" s="5"/>
      <c r="BQ96" s="5"/>
      <c r="BR96" s="33">
        <f t="shared" si="29"/>
        <v>0</v>
      </c>
      <c r="BT96" s="36">
        <f t="shared" si="38"/>
        <v>0</v>
      </c>
      <c r="BU96" s="33">
        <f t="shared" si="52"/>
        <v>0</v>
      </c>
      <c r="BV96" s="37">
        <f t="shared" si="40"/>
        <v>0</v>
      </c>
      <c r="BW96" s="37">
        <f t="shared" si="41"/>
        <v>0</v>
      </c>
      <c r="BX96" s="33">
        <f t="shared" si="54"/>
        <v>0</v>
      </c>
      <c r="BY96" s="33">
        <f t="shared" si="53"/>
        <v>0</v>
      </c>
      <c r="BZ96" s="33">
        <f t="shared" si="44"/>
        <v>0</v>
      </c>
      <c r="CB96" s="38"/>
      <c r="CC96" s="38"/>
      <c r="CD96" s="38"/>
      <c r="CE96" s="38"/>
      <c r="CF96" s="38"/>
      <c r="CG96" s="38"/>
    </row>
    <row r="97" spans="1:85" ht="15.5" x14ac:dyDescent="0.35">
      <c r="A97" s="43">
        <v>90</v>
      </c>
      <c r="B97" s="43"/>
      <c r="C97" s="43"/>
      <c r="D97" s="7"/>
      <c r="L97" s="7"/>
      <c r="N97" s="7"/>
      <c r="O97" s="7"/>
      <c r="P97" s="7"/>
      <c r="Y97" s="24"/>
      <c r="AH97" s="7"/>
      <c r="AJ97" s="7"/>
      <c r="AK97" s="7"/>
      <c r="AL97" s="7"/>
      <c r="AU97" s="31">
        <f t="shared" si="31"/>
        <v>0</v>
      </c>
      <c r="BD97" s="5"/>
      <c r="BE97" s="5"/>
      <c r="BF97" s="5"/>
      <c r="BG97" s="5"/>
      <c r="BH97" s="5"/>
      <c r="BI97" s="5"/>
      <c r="BJ97" s="25">
        <f t="shared" si="45"/>
        <v>0</v>
      </c>
      <c r="BL97" s="5"/>
      <c r="BM97" s="5"/>
      <c r="BN97" s="5"/>
      <c r="BO97" s="5"/>
      <c r="BP97" s="5"/>
      <c r="BQ97" s="5"/>
      <c r="BR97" s="33">
        <f t="shared" si="29"/>
        <v>0</v>
      </c>
      <c r="BT97" s="36">
        <f t="shared" si="38"/>
        <v>0</v>
      </c>
      <c r="BU97" s="33">
        <f t="shared" si="52"/>
        <v>0</v>
      </c>
      <c r="BV97" s="37">
        <f t="shared" si="40"/>
        <v>0</v>
      </c>
      <c r="BW97" s="37">
        <f t="shared" si="41"/>
        <v>0</v>
      </c>
      <c r="BX97" s="33">
        <f t="shared" si="54"/>
        <v>0</v>
      </c>
      <c r="BY97" s="33">
        <f t="shared" si="53"/>
        <v>0</v>
      </c>
      <c r="BZ97" s="33">
        <f t="shared" si="44"/>
        <v>0</v>
      </c>
      <c r="CB97" s="38"/>
      <c r="CC97" s="38"/>
      <c r="CD97" s="38"/>
      <c r="CE97" s="38"/>
      <c r="CF97" s="38"/>
      <c r="CG97" s="38"/>
    </row>
    <row r="98" spans="1:85" ht="15.5" x14ac:dyDescent="0.35">
      <c r="A98" s="43">
        <v>91</v>
      </c>
      <c r="B98" s="43"/>
      <c r="C98" s="43"/>
      <c r="D98" s="7"/>
      <c r="L98" s="7"/>
      <c r="N98" s="7"/>
      <c r="O98" s="7"/>
      <c r="P98" s="7"/>
      <c r="Y98" s="24"/>
      <c r="AH98" s="7"/>
      <c r="AJ98" s="7"/>
      <c r="AK98" s="7"/>
      <c r="AL98" s="7"/>
      <c r="AU98" s="31">
        <f t="shared" si="31"/>
        <v>0</v>
      </c>
      <c r="BD98" s="5"/>
      <c r="BE98" s="5"/>
      <c r="BF98" s="5"/>
      <c r="BG98" s="5"/>
      <c r="BH98" s="5"/>
      <c r="BI98" s="5"/>
      <c r="BJ98" s="25">
        <f t="shared" si="45"/>
        <v>0</v>
      </c>
      <c r="BL98" s="5"/>
      <c r="BM98" s="5"/>
      <c r="BN98" s="5"/>
      <c r="BO98" s="5"/>
      <c r="BP98" s="5"/>
      <c r="BQ98" s="5"/>
      <c r="BR98" s="33">
        <f t="shared" si="29"/>
        <v>0</v>
      </c>
      <c r="BT98" s="36">
        <f t="shared" si="38"/>
        <v>0</v>
      </c>
      <c r="BU98" s="33">
        <f t="shared" si="52"/>
        <v>0</v>
      </c>
      <c r="BV98" s="37">
        <f t="shared" si="40"/>
        <v>0</v>
      </c>
      <c r="BW98" s="37">
        <f t="shared" si="41"/>
        <v>0</v>
      </c>
      <c r="BX98" s="33">
        <f t="shared" si="54"/>
        <v>0</v>
      </c>
      <c r="BY98" s="33">
        <f t="shared" si="53"/>
        <v>0</v>
      </c>
      <c r="BZ98" s="33">
        <f t="shared" si="44"/>
        <v>0</v>
      </c>
      <c r="CB98" s="38"/>
      <c r="CC98" s="38"/>
      <c r="CD98" s="38"/>
      <c r="CE98" s="38"/>
      <c r="CF98" s="38"/>
      <c r="CG98" s="38"/>
    </row>
    <row r="99" spans="1:85" ht="15.5" x14ac:dyDescent="0.35">
      <c r="A99" s="43">
        <v>92</v>
      </c>
      <c r="B99" s="43"/>
      <c r="C99" s="43"/>
      <c r="D99" s="7"/>
      <c r="L99" s="7"/>
      <c r="N99" s="7"/>
      <c r="O99" s="7"/>
      <c r="P99" s="7"/>
      <c r="Y99" s="24"/>
      <c r="AH99" s="7"/>
      <c r="AJ99" s="7"/>
      <c r="AK99" s="7"/>
      <c r="AL99" s="7"/>
      <c r="AU99" s="31">
        <f t="shared" si="31"/>
        <v>0</v>
      </c>
      <c r="BD99" s="5"/>
      <c r="BE99" s="5"/>
      <c r="BF99" s="5"/>
      <c r="BG99" s="5"/>
      <c r="BH99" s="5"/>
      <c r="BI99" s="5"/>
      <c r="BJ99" s="25">
        <f t="shared" si="45"/>
        <v>0</v>
      </c>
      <c r="BL99" s="5"/>
      <c r="BM99" s="5"/>
      <c r="BN99" s="5"/>
      <c r="BO99" s="5"/>
      <c r="BP99" s="5"/>
      <c r="BQ99" s="5"/>
      <c r="BR99" s="33">
        <f t="shared" si="29"/>
        <v>0</v>
      </c>
      <c r="BT99" s="36">
        <f t="shared" si="38"/>
        <v>0</v>
      </c>
      <c r="BU99" s="33">
        <f t="shared" si="52"/>
        <v>0</v>
      </c>
      <c r="BV99" s="37">
        <f t="shared" si="40"/>
        <v>0</v>
      </c>
      <c r="BW99" s="37">
        <f t="shared" si="41"/>
        <v>0</v>
      </c>
      <c r="BX99" s="33">
        <f t="shared" si="54"/>
        <v>0</v>
      </c>
      <c r="BY99" s="33">
        <f t="shared" si="53"/>
        <v>0</v>
      </c>
      <c r="BZ99" s="33">
        <f t="shared" si="44"/>
        <v>0</v>
      </c>
      <c r="CB99" s="38"/>
      <c r="CC99" s="38"/>
      <c r="CD99" s="38"/>
      <c r="CE99" s="38"/>
      <c r="CF99" s="38"/>
      <c r="CG99" s="38"/>
    </row>
    <row r="100" spans="1:85" ht="15.5" x14ac:dyDescent="0.35">
      <c r="A100" s="43">
        <v>93</v>
      </c>
      <c r="B100" s="43"/>
      <c r="C100" s="43"/>
      <c r="D100" s="7"/>
      <c r="L100" s="7"/>
      <c r="N100" s="7"/>
      <c r="O100" s="7"/>
      <c r="P100" s="7"/>
      <c r="Y100" s="24"/>
      <c r="AH100" s="7"/>
      <c r="AJ100" s="7"/>
      <c r="AK100" s="7"/>
      <c r="AL100" s="7"/>
      <c r="AU100" s="31">
        <f t="shared" si="31"/>
        <v>0</v>
      </c>
      <c r="BD100" s="5"/>
      <c r="BE100" s="5"/>
      <c r="BF100" s="5"/>
      <c r="BG100" s="5"/>
      <c r="BH100" s="5"/>
      <c r="BI100" s="5"/>
      <c r="BJ100" s="25">
        <f t="shared" si="45"/>
        <v>0</v>
      </c>
      <c r="BL100" s="5"/>
      <c r="BM100" s="5"/>
      <c r="BN100" s="5"/>
      <c r="BO100" s="5"/>
      <c r="BP100" s="5"/>
      <c r="BQ100" s="5"/>
      <c r="BR100" s="33">
        <f t="shared" si="29"/>
        <v>0</v>
      </c>
      <c r="BT100" s="36">
        <f t="shared" si="38"/>
        <v>0</v>
      </c>
      <c r="BU100" s="33">
        <f t="shared" si="52"/>
        <v>0</v>
      </c>
      <c r="BV100" s="37">
        <f t="shared" si="40"/>
        <v>0</v>
      </c>
      <c r="BW100" s="37">
        <f t="shared" si="41"/>
        <v>0</v>
      </c>
      <c r="BX100" s="33">
        <f t="shared" si="54"/>
        <v>0</v>
      </c>
      <c r="BY100" s="33">
        <f t="shared" si="53"/>
        <v>0</v>
      </c>
      <c r="BZ100" s="33">
        <f t="shared" si="44"/>
        <v>0</v>
      </c>
      <c r="CB100" s="38"/>
      <c r="CC100" s="38"/>
      <c r="CD100" s="38"/>
      <c r="CE100" s="38"/>
      <c r="CF100" s="38"/>
      <c r="CG100" s="38"/>
    </row>
    <row r="101" spans="1:85" ht="15.5" x14ac:dyDescent="0.35">
      <c r="A101" s="43">
        <v>94</v>
      </c>
      <c r="B101" s="43"/>
      <c r="C101" s="43"/>
      <c r="D101" s="7"/>
      <c r="L101" s="7"/>
      <c r="N101" s="7"/>
      <c r="O101" s="7"/>
      <c r="P101" s="7"/>
      <c r="Y101" s="24"/>
      <c r="AH101" s="7"/>
      <c r="AJ101" s="7"/>
      <c r="AK101" s="7"/>
      <c r="AL101" s="7"/>
      <c r="AU101" s="31">
        <f t="shared" si="31"/>
        <v>0</v>
      </c>
      <c r="BD101" s="5"/>
      <c r="BE101" s="5"/>
      <c r="BF101" s="5"/>
      <c r="BG101" s="5"/>
      <c r="BH101" s="5"/>
      <c r="BI101" s="5"/>
      <c r="BJ101" s="25">
        <f t="shared" si="45"/>
        <v>0</v>
      </c>
      <c r="BL101" s="5"/>
      <c r="BM101" s="5"/>
      <c r="BN101" s="5"/>
      <c r="BO101" s="5"/>
      <c r="BP101" s="5"/>
      <c r="BQ101" s="5"/>
      <c r="BR101" s="33">
        <f t="shared" si="29"/>
        <v>0</v>
      </c>
      <c r="BT101" s="36">
        <f t="shared" si="38"/>
        <v>0</v>
      </c>
      <c r="BU101" s="33">
        <f t="shared" si="52"/>
        <v>0</v>
      </c>
      <c r="BV101" s="37">
        <f t="shared" si="40"/>
        <v>0</v>
      </c>
      <c r="BW101" s="37">
        <f t="shared" si="41"/>
        <v>0</v>
      </c>
      <c r="BX101" s="33">
        <f t="shared" si="54"/>
        <v>0</v>
      </c>
      <c r="BY101" s="33">
        <f t="shared" si="53"/>
        <v>0</v>
      </c>
      <c r="BZ101" s="33">
        <f t="shared" si="44"/>
        <v>0</v>
      </c>
      <c r="CB101" s="38"/>
      <c r="CC101" s="38"/>
      <c r="CD101" s="38"/>
      <c r="CE101" s="38"/>
      <c r="CF101" s="38"/>
      <c r="CG101" s="38"/>
    </row>
    <row r="102" spans="1:85" ht="15.5" x14ac:dyDescent="0.35">
      <c r="A102" s="43">
        <v>95</v>
      </c>
      <c r="B102" s="43"/>
      <c r="C102" s="43"/>
      <c r="D102" s="7"/>
      <c r="L102" s="7"/>
      <c r="N102" s="7"/>
      <c r="O102" s="7"/>
      <c r="P102" s="7"/>
      <c r="Y102" s="24"/>
      <c r="AH102" s="7"/>
      <c r="AJ102" s="7"/>
      <c r="AK102" s="7"/>
      <c r="AL102" s="7"/>
      <c r="AU102" s="31">
        <f t="shared" si="31"/>
        <v>0</v>
      </c>
      <c r="BD102" s="5"/>
      <c r="BE102" s="5"/>
      <c r="BF102" s="5"/>
      <c r="BG102" s="5"/>
      <c r="BH102" s="5"/>
      <c r="BI102" s="5"/>
      <c r="BJ102" s="25">
        <f t="shared" si="45"/>
        <v>0</v>
      </c>
      <c r="BL102" s="5"/>
      <c r="BM102" s="5"/>
      <c r="BN102" s="5"/>
      <c r="BO102" s="5"/>
      <c r="BP102" s="5"/>
      <c r="BQ102" s="5"/>
      <c r="BR102" s="33">
        <f t="shared" si="29"/>
        <v>0</v>
      </c>
      <c r="BT102" s="36">
        <f t="shared" si="38"/>
        <v>0</v>
      </c>
      <c r="BU102" s="33">
        <f t="shared" si="52"/>
        <v>0</v>
      </c>
      <c r="BV102" s="37">
        <f t="shared" si="40"/>
        <v>0</v>
      </c>
      <c r="BW102" s="37">
        <f t="shared" si="41"/>
        <v>0</v>
      </c>
      <c r="BX102" s="33">
        <f t="shared" si="54"/>
        <v>0</v>
      </c>
      <c r="BY102" s="33">
        <f t="shared" si="53"/>
        <v>0</v>
      </c>
      <c r="BZ102" s="33">
        <f t="shared" si="44"/>
        <v>0</v>
      </c>
      <c r="CB102" s="38"/>
      <c r="CC102" s="38"/>
      <c r="CD102" s="38"/>
      <c r="CE102" s="38"/>
      <c r="CF102" s="38"/>
      <c r="CG102" s="38"/>
    </row>
    <row r="103" spans="1:85" ht="15.5" x14ac:dyDescent="0.35">
      <c r="A103" s="43">
        <v>96</v>
      </c>
      <c r="B103" s="43"/>
      <c r="C103" s="43"/>
      <c r="D103" s="7"/>
      <c r="L103" s="7"/>
      <c r="N103" s="7"/>
      <c r="O103" s="7"/>
      <c r="P103" s="7"/>
      <c r="Y103" s="24"/>
      <c r="AH103" s="7"/>
      <c r="AJ103" s="7"/>
      <c r="AK103" s="7"/>
      <c r="AL103" s="7"/>
      <c r="AU103" s="31">
        <f t="shared" si="31"/>
        <v>0</v>
      </c>
      <c r="BD103" s="5"/>
      <c r="BE103" s="5"/>
      <c r="BF103" s="5"/>
      <c r="BG103" s="5"/>
      <c r="BH103" s="5"/>
      <c r="BI103" s="5"/>
      <c r="BJ103" s="25">
        <f t="shared" si="45"/>
        <v>0</v>
      </c>
      <c r="BL103" s="5"/>
      <c r="BM103" s="5"/>
      <c r="BN103" s="5"/>
      <c r="BO103" s="5"/>
      <c r="BP103" s="5"/>
      <c r="BQ103" s="5"/>
      <c r="BR103" s="33">
        <f t="shared" si="29"/>
        <v>0</v>
      </c>
      <c r="BT103" s="36">
        <f t="shared" si="38"/>
        <v>0</v>
      </c>
      <c r="BU103" s="33">
        <f t="shared" si="52"/>
        <v>0</v>
      </c>
      <c r="BV103" s="37">
        <f t="shared" si="40"/>
        <v>0</v>
      </c>
      <c r="BW103" s="37">
        <f t="shared" si="41"/>
        <v>0</v>
      </c>
      <c r="BX103" s="33">
        <f t="shared" si="54"/>
        <v>0</v>
      </c>
      <c r="BY103" s="33">
        <f t="shared" si="53"/>
        <v>0</v>
      </c>
      <c r="BZ103" s="33">
        <f t="shared" si="44"/>
        <v>0</v>
      </c>
      <c r="CB103" s="38"/>
      <c r="CC103" s="38"/>
      <c r="CD103" s="38"/>
      <c r="CE103" s="38"/>
      <c r="CF103" s="38"/>
      <c r="CG103" s="38"/>
    </row>
    <row r="104" spans="1:85" ht="15.5" x14ac:dyDescent="0.35">
      <c r="A104" s="43">
        <v>97</v>
      </c>
      <c r="B104" s="43"/>
      <c r="C104" s="43"/>
      <c r="D104" s="7"/>
      <c r="L104" s="7"/>
      <c r="N104" s="7"/>
      <c r="O104" s="7"/>
      <c r="P104" s="7"/>
      <c r="Y104" s="24"/>
      <c r="AH104" s="7"/>
      <c r="AJ104" s="7"/>
      <c r="AK104" s="7"/>
      <c r="AL104" s="7"/>
      <c r="AU104" s="31">
        <f t="shared" si="31"/>
        <v>0</v>
      </c>
      <c r="BD104" s="5"/>
      <c r="BE104" s="5"/>
      <c r="BF104" s="5"/>
      <c r="BG104" s="5"/>
      <c r="BH104" s="5"/>
      <c r="BI104" s="5"/>
      <c r="BJ104" s="25">
        <f t="shared" si="45"/>
        <v>0</v>
      </c>
      <c r="BL104" s="5"/>
      <c r="BM104" s="5"/>
      <c r="BN104" s="5"/>
      <c r="BO104" s="5"/>
      <c r="BP104" s="5"/>
      <c r="BQ104" s="5"/>
      <c r="BR104" s="33">
        <f t="shared" si="29"/>
        <v>0</v>
      </c>
      <c r="BT104" s="36">
        <f t="shared" si="38"/>
        <v>0</v>
      </c>
      <c r="BU104" s="33">
        <f t="shared" si="52"/>
        <v>0</v>
      </c>
      <c r="BV104" s="37">
        <f t="shared" si="40"/>
        <v>0</v>
      </c>
      <c r="BW104" s="37">
        <f t="shared" si="41"/>
        <v>0</v>
      </c>
      <c r="BX104" s="33">
        <f t="shared" si="54"/>
        <v>0</v>
      </c>
      <c r="BY104" s="33">
        <f t="shared" si="53"/>
        <v>0</v>
      </c>
      <c r="BZ104" s="33">
        <f t="shared" si="44"/>
        <v>0</v>
      </c>
      <c r="CB104" s="38"/>
      <c r="CC104" s="38"/>
      <c r="CD104" s="38"/>
      <c r="CE104" s="38"/>
      <c r="CF104" s="38"/>
      <c r="CG104" s="38"/>
    </row>
    <row r="105" spans="1:85" ht="15.5" x14ac:dyDescent="0.35">
      <c r="A105" s="43">
        <v>98</v>
      </c>
      <c r="B105" s="43"/>
      <c r="C105" s="43"/>
      <c r="D105" s="7"/>
      <c r="L105" s="7"/>
      <c r="N105" s="7"/>
      <c r="O105" s="7"/>
      <c r="P105" s="7"/>
      <c r="Y105" s="24"/>
      <c r="AH105" s="7"/>
      <c r="AJ105" s="7"/>
      <c r="AK105" s="7"/>
      <c r="AL105" s="7"/>
      <c r="AU105" s="31">
        <f t="shared" si="31"/>
        <v>0</v>
      </c>
      <c r="BD105" s="5"/>
      <c r="BE105" s="5"/>
      <c r="BF105" s="5"/>
      <c r="BG105" s="5"/>
      <c r="BH105" s="5"/>
      <c r="BI105" s="5"/>
      <c r="BJ105" s="25">
        <f t="shared" si="45"/>
        <v>0</v>
      </c>
      <c r="BL105" s="5"/>
      <c r="BM105" s="5"/>
      <c r="BN105" s="5"/>
      <c r="BO105" s="5"/>
      <c r="BP105" s="5"/>
      <c r="BQ105" s="5"/>
      <c r="BR105" s="33">
        <f t="shared" si="29"/>
        <v>0</v>
      </c>
      <c r="BT105" s="36">
        <f t="shared" si="38"/>
        <v>0</v>
      </c>
      <c r="BU105" s="33">
        <f t="shared" si="52"/>
        <v>0</v>
      </c>
      <c r="BV105" s="37">
        <f t="shared" si="40"/>
        <v>0</v>
      </c>
      <c r="BW105" s="37">
        <f t="shared" si="41"/>
        <v>0</v>
      </c>
      <c r="BX105" s="33">
        <f t="shared" si="54"/>
        <v>0</v>
      </c>
      <c r="BY105" s="33">
        <f t="shared" si="53"/>
        <v>0</v>
      </c>
      <c r="BZ105" s="33">
        <f t="shared" si="44"/>
        <v>0</v>
      </c>
      <c r="CB105" s="38"/>
      <c r="CC105" s="38"/>
      <c r="CD105" s="38"/>
      <c r="CE105" s="38"/>
      <c r="CF105" s="38"/>
      <c r="CG105" s="38"/>
    </row>
    <row r="106" spans="1:85" ht="15.5" x14ac:dyDescent="0.35">
      <c r="A106" s="43">
        <v>99</v>
      </c>
      <c r="B106" s="43"/>
      <c r="C106" s="43"/>
      <c r="D106" s="7"/>
      <c r="L106" s="7"/>
      <c r="N106" s="7"/>
      <c r="O106" s="7"/>
      <c r="P106" s="7"/>
      <c r="Y106" s="24"/>
      <c r="AH106" s="7"/>
      <c r="AJ106" s="7"/>
      <c r="AK106" s="7"/>
      <c r="AL106" s="7"/>
      <c r="AU106" s="31">
        <f t="shared" si="31"/>
        <v>0</v>
      </c>
      <c r="BD106" s="5"/>
      <c r="BE106" s="5"/>
      <c r="BF106" s="5"/>
      <c r="BG106" s="5"/>
      <c r="BH106" s="5"/>
      <c r="BI106" s="5"/>
      <c r="BJ106" s="25">
        <f t="shared" si="45"/>
        <v>0</v>
      </c>
      <c r="BL106" s="5"/>
      <c r="BM106" s="5"/>
      <c r="BN106" s="5"/>
      <c r="BO106" s="5"/>
      <c r="BP106" s="5"/>
      <c r="BQ106" s="5"/>
      <c r="BR106" s="33">
        <f t="shared" si="29"/>
        <v>0</v>
      </c>
      <c r="BT106" s="36">
        <f t="shared" si="38"/>
        <v>0</v>
      </c>
      <c r="BU106" s="33">
        <f t="shared" si="52"/>
        <v>0</v>
      </c>
      <c r="BV106" s="37">
        <f t="shared" si="40"/>
        <v>0</v>
      </c>
      <c r="BW106" s="37">
        <f t="shared" si="41"/>
        <v>0</v>
      </c>
      <c r="BX106" s="33">
        <f t="shared" si="54"/>
        <v>0</v>
      </c>
      <c r="BY106" s="33">
        <f t="shared" si="53"/>
        <v>0</v>
      </c>
      <c r="BZ106" s="33">
        <f t="shared" si="44"/>
        <v>0</v>
      </c>
      <c r="CB106" s="38"/>
      <c r="CC106" s="38"/>
      <c r="CD106" s="38"/>
      <c r="CE106" s="38"/>
      <c r="CF106" s="38"/>
      <c r="CG106" s="38"/>
    </row>
    <row r="107" spans="1:85" ht="15.5" x14ac:dyDescent="0.35">
      <c r="A107" s="43">
        <v>100</v>
      </c>
      <c r="B107" s="43"/>
      <c r="C107" s="43"/>
      <c r="D107" s="7"/>
      <c r="L107" s="7"/>
      <c r="N107" s="7"/>
      <c r="O107" s="7"/>
      <c r="P107" s="7"/>
      <c r="Y107" s="24"/>
      <c r="AH107" s="7"/>
      <c r="AJ107" s="7"/>
      <c r="AK107" s="7"/>
      <c r="AL107" s="7"/>
      <c r="AU107" s="31">
        <f t="shared" si="31"/>
        <v>0</v>
      </c>
      <c r="BD107" s="5"/>
      <c r="BE107" s="5"/>
      <c r="BF107" s="5"/>
      <c r="BG107" s="5"/>
      <c r="BH107" s="5"/>
      <c r="BI107" s="5"/>
      <c r="BJ107" s="25">
        <f t="shared" si="45"/>
        <v>0</v>
      </c>
      <c r="BL107" s="5"/>
      <c r="BM107" s="5"/>
      <c r="BN107" s="5"/>
      <c r="BO107" s="5"/>
      <c r="BP107" s="5"/>
      <c r="BQ107" s="5"/>
      <c r="BR107" s="33">
        <f t="shared" si="29"/>
        <v>0</v>
      </c>
      <c r="BT107" s="36">
        <f t="shared" si="38"/>
        <v>0</v>
      </c>
      <c r="BU107" s="33">
        <f t="shared" si="52"/>
        <v>0</v>
      </c>
      <c r="BV107" s="37">
        <f t="shared" si="40"/>
        <v>0</v>
      </c>
      <c r="BW107" s="37">
        <f t="shared" si="41"/>
        <v>0</v>
      </c>
      <c r="BX107" s="33">
        <f t="shared" si="54"/>
        <v>0</v>
      </c>
      <c r="BY107" s="33">
        <f t="shared" si="53"/>
        <v>0</v>
      </c>
      <c r="BZ107" s="33">
        <f t="shared" si="44"/>
        <v>0</v>
      </c>
      <c r="CB107" s="38"/>
      <c r="CC107" s="38"/>
      <c r="CD107" s="38"/>
      <c r="CE107" s="38"/>
      <c r="CF107" s="38"/>
      <c r="CG107" s="38"/>
    </row>
    <row r="108" spans="1:85" ht="15.5" x14ac:dyDescent="0.35">
      <c r="A108" s="43">
        <v>101</v>
      </c>
      <c r="B108" s="43"/>
      <c r="C108" s="43"/>
      <c r="D108" s="7"/>
      <c r="L108" s="7"/>
      <c r="N108" s="7"/>
      <c r="O108" s="7"/>
      <c r="P108" s="7"/>
      <c r="Y108" s="24"/>
      <c r="AH108" s="7"/>
      <c r="AJ108" s="7"/>
      <c r="AK108" s="7"/>
      <c r="AL108" s="7"/>
      <c r="AU108" s="31">
        <f t="shared" si="31"/>
        <v>0</v>
      </c>
      <c r="BD108" s="5"/>
      <c r="BE108" s="5"/>
      <c r="BF108" s="5"/>
      <c r="BG108" s="5"/>
      <c r="BH108" s="5"/>
      <c r="BI108" s="5"/>
      <c r="BJ108" s="25">
        <f t="shared" si="45"/>
        <v>0</v>
      </c>
      <c r="BL108" s="5"/>
      <c r="BM108" s="5"/>
      <c r="BN108" s="5"/>
      <c r="BO108" s="5"/>
      <c r="BP108" s="5"/>
      <c r="BQ108" s="5"/>
      <c r="BR108" s="33">
        <f t="shared" si="29"/>
        <v>0</v>
      </c>
      <c r="BT108" s="36">
        <f t="shared" si="38"/>
        <v>0</v>
      </c>
      <c r="BU108" s="33">
        <f t="shared" si="52"/>
        <v>0</v>
      </c>
      <c r="BV108" s="37">
        <f t="shared" si="40"/>
        <v>0</v>
      </c>
      <c r="BW108" s="37">
        <f t="shared" si="41"/>
        <v>0</v>
      </c>
      <c r="BX108" s="33">
        <f t="shared" si="54"/>
        <v>0</v>
      </c>
      <c r="BY108" s="33">
        <f t="shared" si="53"/>
        <v>0</v>
      </c>
      <c r="BZ108" s="33">
        <f t="shared" si="44"/>
        <v>0</v>
      </c>
      <c r="CB108" s="38"/>
      <c r="CC108" s="38"/>
      <c r="CD108" s="38"/>
      <c r="CE108" s="38"/>
      <c r="CF108" s="38"/>
      <c r="CG108" s="38"/>
    </row>
    <row r="109" spans="1:85" ht="15.5" x14ac:dyDescent="0.35">
      <c r="A109" s="43">
        <v>102</v>
      </c>
      <c r="B109" s="43"/>
      <c r="C109" s="43"/>
      <c r="D109" s="7"/>
      <c r="L109" s="7"/>
      <c r="N109" s="7"/>
      <c r="O109" s="7"/>
      <c r="P109" s="7"/>
      <c r="Y109" s="24"/>
      <c r="AH109" s="7"/>
      <c r="AJ109" s="7"/>
      <c r="AK109" s="7"/>
      <c r="AL109" s="7"/>
      <c r="AU109" s="31">
        <f t="shared" si="31"/>
        <v>0</v>
      </c>
      <c r="BD109" s="5"/>
      <c r="BE109" s="5"/>
      <c r="BF109" s="5"/>
      <c r="BG109" s="5"/>
      <c r="BH109" s="5"/>
      <c r="BI109" s="5"/>
      <c r="BJ109" s="25">
        <f t="shared" si="45"/>
        <v>0</v>
      </c>
      <c r="BL109" s="5"/>
      <c r="BM109" s="5"/>
      <c r="BN109" s="5"/>
      <c r="BO109" s="5"/>
      <c r="BP109" s="5"/>
      <c r="BQ109" s="5"/>
      <c r="BR109" s="33">
        <f t="shared" si="29"/>
        <v>0</v>
      </c>
      <c r="BT109" s="36">
        <f t="shared" si="38"/>
        <v>0</v>
      </c>
      <c r="BU109" s="33">
        <f t="shared" si="52"/>
        <v>0</v>
      </c>
      <c r="BV109" s="37">
        <f t="shared" si="40"/>
        <v>0</v>
      </c>
      <c r="BW109" s="37">
        <f t="shared" si="41"/>
        <v>0</v>
      </c>
      <c r="BX109" s="33">
        <f t="shared" si="54"/>
        <v>0</v>
      </c>
      <c r="BY109" s="33">
        <f t="shared" si="53"/>
        <v>0</v>
      </c>
      <c r="BZ109" s="33">
        <f t="shared" si="44"/>
        <v>0</v>
      </c>
      <c r="CB109" s="38"/>
      <c r="CC109" s="38"/>
      <c r="CD109" s="38"/>
      <c r="CE109" s="38"/>
      <c r="CF109" s="38"/>
      <c r="CG109" s="38"/>
    </row>
    <row r="110" spans="1:85" ht="15.5" x14ac:dyDescent="0.35">
      <c r="A110" s="43">
        <v>103</v>
      </c>
      <c r="B110" s="43"/>
      <c r="C110" s="43"/>
      <c r="D110" s="7"/>
      <c r="L110" s="7"/>
      <c r="N110" s="7"/>
      <c r="O110" s="7"/>
      <c r="P110" s="7"/>
      <c r="Y110" s="24"/>
      <c r="AH110" s="7"/>
      <c r="AJ110" s="7"/>
      <c r="AK110" s="7"/>
      <c r="AL110" s="7"/>
      <c r="AU110" s="31">
        <f t="shared" si="31"/>
        <v>0</v>
      </c>
      <c r="BD110" s="5"/>
      <c r="BE110" s="5"/>
      <c r="BF110" s="5"/>
      <c r="BG110" s="5"/>
      <c r="BH110" s="5"/>
      <c r="BI110" s="5"/>
      <c r="BJ110" s="25">
        <f t="shared" si="45"/>
        <v>0</v>
      </c>
      <c r="BL110" s="5"/>
      <c r="BM110" s="5"/>
      <c r="BN110" s="5"/>
      <c r="BO110" s="5"/>
      <c r="BP110" s="5"/>
      <c r="BQ110" s="5"/>
      <c r="BR110" s="33">
        <f t="shared" si="29"/>
        <v>0</v>
      </c>
      <c r="BT110" s="36">
        <f t="shared" si="38"/>
        <v>0</v>
      </c>
      <c r="BU110" s="33">
        <f t="shared" ref="BU110:BU141" si="55">SUMPRODUCT(($E$5:$BJ$5="CO2")*(ISNUMBER(L110:BQ110))*(L110:BQ110&gt;0), L110:BQ110)</f>
        <v>0</v>
      </c>
      <c r="BV110" s="37">
        <f t="shared" si="40"/>
        <v>0</v>
      </c>
      <c r="BW110" s="37">
        <f t="shared" si="41"/>
        <v>0</v>
      </c>
      <c r="BX110" s="33">
        <f t="shared" si="54"/>
        <v>0</v>
      </c>
      <c r="BY110" s="33">
        <f t="shared" ref="BY110:BY141" si="56">SUMPRODUCT(($E$5:$BJ$5="CO6")*(ISNUMBER(L110:BQ110))*(L110:BQ110&gt;0), L110:BQ110)</f>
        <v>0</v>
      </c>
      <c r="BZ110" s="33">
        <f t="shared" si="44"/>
        <v>0</v>
      </c>
      <c r="CB110" s="38"/>
      <c r="CC110" s="38"/>
      <c r="CD110" s="38"/>
      <c r="CE110" s="38"/>
      <c r="CF110" s="38"/>
      <c r="CG110" s="38"/>
    </row>
    <row r="111" spans="1:85" ht="15.5" x14ac:dyDescent="0.35">
      <c r="A111" s="43">
        <v>104</v>
      </c>
      <c r="B111" s="43"/>
      <c r="C111" s="43"/>
      <c r="D111" s="7"/>
      <c r="L111" s="7"/>
      <c r="N111" s="7"/>
      <c r="O111" s="7"/>
      <c r="P111" s="7"/>
      <c r="Y111" s="24"/>
      <c r="AH111" s="7"/>
      <c r="AJ111" s="7"/>
      <c r="AK111" s="7"/>
      <c r="AL111" s="7"/>
      <c r="AU111" s="31">
        <f t="shared" si="31"/>
        <v>0</v>
      </c>
      <c r="BD111" s="5"/>
      <c r="BE111" s="5"/>
      <c r="BF111" s="5"/>
      <c r="BG111" s="5"/>
      <c r="BH111" s="5"/>
      <c r="BI111" s="5"/>
      <c r="BJ111" s="25">
        <f t="shared" si="45"/>
        <v>0</v>
      </c>
      <c r="BL111" s="5"/>
      <c r="BM111" s="5"/>
      <c r="BN111" s="5"/>
      <c r="BO111" s="5"/>
      <c r="BP111" s="5"/>
      <c r="BQ111" s="5"/>
      <c r="BR111" s="33">
        <f t="shared" si="29"/>
        <v>0</v>
      </c>
      <c r="BT111" s="36">
        <f t="shared" si="38"/>
        <v>0</v>
      </c>
      <c r="BU111" s="33">
        <f t="shared" si="55"/>
        <v>0</v>
      </c>
      <c r="BV111" s="37">
        <f t="shared" si="40"/>
        <v>0</v>
      </c>
      <c r="BW111" s="37">
        <f t="shared" si="41"/>
        <v>0</v>
      </c>
      <c r="BX111" s="33">
        <f t="shared" si="54"/>
        <v>0</v>
      </c>
      <c r="BY111" s="33">
        <f t="shared" si="56"/>
        <v>0</v>
      </c>
      <c r="BZ111" s="33">
        <f t="shared" si="44"/>
        <v>0</v>
      </c>
      <c r="CB111" s="38"/>
      <c r="CC111" s="38"/>
      <c r="CD111" s="38"/>
      <c r="CE111" s="38"/>
      <c r="CF111" s="38"/>
      <c r="CG111" s="38"/>
    </row>
    <row r="112" spans="1:85" ht="15.5" x14ac:dyDescent="0.35">
      <c r="A112" s="43">
        <v>105</v>
      </c>
      <c r="B112" s="43"/>
      <c r="C112" s="43"/>
      <c r="D112" s="7"/>
      <c r="L112" s="7"/>
      <c r="N112" s="7"/>
      <c r="O112" s="7"/>
      <c r="P112" s="7"/>
      <c r="Y112" s="24"/>
      <c r="AH112" s="7"/>
      <c r="AJ112" s="7"/>
      <c r="AK112" s="7"/>
      <c r="AL112" s="7"/>
      <c r="AU112" s="31">
        <f t="shared" si="31"/>
        <v>0</v>
      </c>
      <c r="BD112" s="5"/>
      <c r="BE112" s="5"/>
      <c r="BF112" s="5"/>
      <c r="BG112" s="5"/>
      <c r="BH112" s="5"/>
      <c r="BI112" s="5"/>
      <c r="BJ112" s="25">
        <f t="shared" si="45"/>
        <v>0</v>
      </c>
      <c r="BL112" s="5"/>
      <c r="BM112" s="5"/>
      <c r="BN112" s="5"/>
      <c r="BO112" s="5"/>
      <c r="BP112" s="5"/>
      <c r="BQ112" s="5"/>
      <c r="BR112" s="33">
        <f t="shared" si="29"/>
        <v>0</v>
      </c>
      <c r="BT112" s="36">
        <f t="shared" si="38"/>
        <v>0</v>
      </c>
      <c r="BU112" s="33">
        <f t="shared" si="55"/>
        <v>0</v>
      </c>
      <c r="BV112" s="37">
        <f t="shared" si="40"/>
        <v>0</v>
      </c>
      <c r="BW112" s="37">
        <f t="shared" si="41"/>
        <v>0</v>
      </c>
      <c r="BX112" s="33">
        <f t="shared" si="54"/>
        <v>0</v>
      </c>
      <c r="BY112" s="33">
        <f t="shared" si="56"/>
        <v>0</v>
      </c>
      <c r="BZ112" s="33">
        <f t="shared" si="44"/>
        <v>0</v>
      </c>
      <c r="CB112" s="38"/>
      <c r="CC112" s="38"/>
      <c r="CD112" s="38"/>
      <c r="CE112" s="38"/>
      <c r="CF112" s="38"/>
      <c r="CG112" s="38"/>
    </row>
    <row r="113" spans="1:85" ht="15.5" x14ac:dyDescent="0.35">
      <c r="A113" s="43">
        <v>106</v>
      </c>
      <c r="B113" s="43"/>
      <c r="C113" s="43"/>
      <c r="D113" s="7"/>
      <c r="L113" s="7"/>
      <c r="N113" s="7"/>
      <c r="O113" s="7"/>
      <c r="P113" s="7"/>
      <c r="Y113" s="24"/>
      <c r="AH113" s="7"/>
      <c r="AJ113" s="7"/>
      <c r="AK113" s="7"/>
      <c r="AL113" s="7"/>
      <c r="AU113" s="31">
        <f t="shared" si="31"/>
        <v>0</v>
      </c>
      <c r="BD113" s="5"/>
      <c r="BE113" s="5"/>
      <c r="BF113" s="5"/>
      <c r="BG113" s="5"/>
      <c r="BH113" s="5"/>
      <c r="BI113" s="5"/>
      <c r="BJ113" s="25">
        <f t="shared" si="45"/>
        <v>0</v>
      </c>
      <c r="BR113" s="33">
        <f t="shared" si="29"/>
        <v>0</v>
      </c>
      <c r="BT113" s="36">
        <f t="shared" si="38"/>
        <v>0</v>
      </c>
      <c r="BU113" s="33">
        <f t="shared" si="55"/>
        <v>0</v>
      </c>
      <c r="BV113" s="37">
        <f t="shared" si="40"/>
        <v>0</v>
      </c>
      <c r="BW113" s="37">
        <f t="shared" si="41"/>
        <v>0</v>
      </c>
      <c r="BX113" s="33">
        <f t="shared" si="54"/>
        <v>0</v>
      </c>
      <c r="BY113" s="33">
        <f t="shared" si="56"/>
        <v>0</v>
      </c>
      <c r="BZ113" s="33">
        <f t="shared" si="44"/>
        <v>0</v>
      </c>
      <c r="CB113" s="38"/>
      <c r="CC113" s="38"/>
      <c r="CD113" s="38"/>
      <c r="CE113" s="38"/>
      <c r="CF113" s="38"/>
      <c r="CG113" s="38"/>
    </row>
    <row r="114" spans="1:85" ht="15.5" x14ac:dyDescent="0.35">
      <c r="A114" s="43">
        <v>107</v>
      </c>
      <c r="B114" s="43"/>
      <c r="C114" s="43"/>
      <c r="D114" s="7"/>
      <c r="L114" s="7"/>
      <c r="N114" s="7"/>
      <c r="O114" s="7"/>
      <c r="P114" s="7"/>
      <c r="Y114" s="24"/>
      <c r="AH114" s="7"/>
      <c r="AJ114" s="7"/>
      <c r="AK114" s="7"/>
      <c r="AL114" s="7"/>
      <c r="AU114" s="31">
        <f t="shared" si="31"/>
        <v>0</v>
      </c>
      <c r="BD114" s="5"/>
      <c r="BE114" s="5"/>
      <c r="BF114" s="5"/>
      <c r="BG114" s="5"/>
      <c r="BH114" s="5"/>
      <c r="BI114" s="5"/>
      <c r="BJ114" s="25">
        <f t="shared" si="45"/>
        <v>0</v>
      </c>
      <c r="BR114" s="33">
        <f t="shared" si="29"/>
        <v>0</v>
      </c>
      <c r="BT114" s="36">
        <f t="shared" si="38"/>
        <v>0</v>
      </c>
      <c r="BU114" s="33">
        <f t="shared" si="55"/>
        <v>0</v>
      </c>
      <c r="BV114" s="37">
        <f t="shared" si="40"/>
        <v>0</v>
      </c>
      <c r="BW114" s="37">
        <f t="shared" si="41"/>
        <v>0</v>
      </c>
      <c r="BX114" s="33">
        <f t="shared" si="54"/>
        <v>0</v>
      </c>
      <c r="BY114" s="33">
        <f t="shared" si="56"/>
        <v>0</v>
      </c>
      <c r="BZ114" s="33">
        <f t="shared" si="44"/>
        <v>0</v>
      </c>
      <c r="CB114" s="38"/>
      <c r="CC114" s="38"/>
      <c r="CD114" s="38"/>
      <c r="CE114" s="38"/>
      <c r="CF114" s="38"/>
      <c r="CG114" s="38"/>
    </row>
    <row r="115" spans="1:85" ht="15.5" x14ac:dyDescent="0.35">
      <c r="A115" s="43">
        <v>108</v>
      </c>
      <c r="B115" s="43"/>
      <c r="C115" s="43"/>
      <c r="D115" s="7"/>
      <c r="L115" s="7"/>
      <c r="N115" s="7"/>
      <c r="O115" s="7"/>
      <c r="P115" s="7"/>
      <c r="Y115" s="24"/>
      <c r="AH115" s="7"/>
      <c r="AJ115" s="7"/>
      <c r="AK115" s="7"/>
      <c r="AL115" s="7"/>
      <c r="AU115" s="31">
        <f t="shared" si="31"/>
        <v>0</v>
      </c>
      <c r="BD115" s="5"/>
      <c r="BE115" s="5"/>
      <c r="BF115" s="5"/>
      <c r="BG115" s="5"/>
      <c r="BH115" s="5"/>
      <c r="BI115" s="5"/>
      <c r="BJ115" s="25">
        <f t="shared" si="45"/>
        <v>0</v>
      </c>
      <c r="BR115" s="33">
        <f t="shared" si="29"/>
        <v>0</v>
      </c>
      <c r="BT115" s="36">
        <f t="shared" si="38"/>
        <v>0</v>
      </c>
      <c r="BU115" s="33">
        <f t="shared" si="55"/>
        <v>0</v>
      </c>
      <c r="BV115" s="37">
        <f t="shared" si="40"/>
        <v>0</v>
      </c>
      <c r="BW115" s="37">
        <f t="shared" si="41"/>
        <v>0</v>
      </c>
      <c r="BX115" s="33">
        <f t="shared" si="54"/>
        <v>0</v>
      </c>
      <c r="BY115" s="33">
        <f t="shared" si="56"/>
        <v>0</v>
      </c>
      <c r="BZ115" s="33">
        <f t="shared" si="44"/>
        <v>0</v>
      </c>
      <c r="CB115" s="38"/>
      <c r="CC115" s="38"/>
      <c r="CD115" s="38"/>
      <c r="CE115" s="38"/>
      <c r="CF115" s="38"/>
      <c r="CG115" s="38"/>
    </row>
    <row r="116" spans="1:85" ht="15.5" x14ac:dyDescent="0.35">
      <c r="A116" s="43">
        <v>109</v>
      </c>
      <c r="B116" s="43"/>
      <c r="C116" s="43"/>
      <c r="D116" s="7"/>
      <c r="L116" s="7"/>
      <c r="N116" s="7"/>
      <c r="O116" s="7"/>
      <c r="P116" s="7"/>
      <c r="Y116" s="24"/>
      <c r="AH116" s="7"/>
      <c r="AJ116" s="7"/>
      <c r="AK116" s="7"/>
      <c r="AL116" s="7"/>
      <c r="AU116" s="31">
        <f t="shared" si="31"/>
        <v>0</v>
      </c>
      <c r="BD116" s="5"/>
      <c r="BE116" s="5"/>
      <c r="BF116" s="5"/>
      <c r="BG116" s="5"/>
      <c r="BH116" s="5"/>
      <c r="BI116" s="5"/>
      <c r="BJ116" s="25">
        <f t="shared" si="45"/>
        <v>0</v>
      </c>
      <c r="BR116" s="33">
        <f t="shared" si="29"/>
        <v>0</v>
      </c>
      <c r="BT116" s="36">
        <f t="shared" si="38"/>
        <v>0</v>
      </c>
      <c r="BU116" s="33">
        <f t="shared" si="55"/>
        <v>0</v>
      </c>
      <c r="BV116" s="37">
        <f t="shared" si="40"/>
        <v>0</v>
      </c>
      <c r="BW116" s="37">
        <f t="shared" si="41"/>
        <v>0</v>
      </c>
      <c r="BX116" s="33">
        <f t="shared" si="54"/>
        <v>0</v>
      </c>
      <c r="BY116" s="33">
        <f t="shared" si="56"/>
        <v>0</v>
      </c>
      <c r="BZ116" s="33">
        <f t="shared" si="44"/>
        <v>0</v>
      </c>
      <c r="CB116" s="38"/>
      <c r="CC116" s="38"/>
      <c r="CD116" s="38"/>
      <c r="CE116" s="38"/>
      <c r="CF116" s="38"/>
      <c r="CG116" s="38"/>
    </row>
    <row r="117" spans="1:85" ht="15.5" x14ac:dyDescent="0.35">
      <c r="A117" s="43">
        <v>110</v>
      </c>
      <c r="B117" s="43"/>
      <c r="C117" s="43"/>
      <c r="D117" s="7"/>
      <c r="L117" s="7"/>
      <c r="N117" s="7"/>
      <c r="O117" s="7"/>
      <c r="P117" s="7"/>
      <c r="Y117" s="24"/>
      <c r="AH117" s="7"/>
      <c r="AJ117" s="7"/>
      <c r="AK117" s="7"/>
      <c r="AL117" s="7"/>
      <c r="AU117" s="31">
        <f t="shared" si="31"/>
        <v>0</v>
      </c>
      <c r="BD117" s="5"/>
      <c r="BE117" s="5"/>
      <c r="BF117" s="5"/>
      <c r="BG117" s="5"/>
      <c r="BH117" s="5"/>
      <c r="BI117" s="5"/>
      <c r="BJ117" s="25">
        <f t="shared" si="45"/>
        <v>0</v>
      </c>
      <c r="BR117" s="33">
        <f t="shared" si="29"/>
        <v>0</v>
      </c>
      <c r="BT117" s="36">
        <f t="shared" si="38"/>
        <v>0</v>
      </c>
      <c r="BU117" s="33">
        <f t="shared" si="55"/>
        <v>0</v>
      </c>
      <c r="BV117" s="37">
        <f t="shared" si="40"/>
        <v>0</v>
      </c>
      <c r="BW117" s="37">
        <f t="shared" si="41"/>
        <v>0</v>
      </c>
      <c r="BX117" s="33">
        <f t="shared" si="54"/>
        <v>0</v>
      </c>
      <c r="BY117" s="33">
        <f t="shared" si="56"/>
        <v>0</v>
      </c>
      <c r="BZ117" s="33">
        <f t="shared" si="44"/>
        <v>0</v>
      </c>
      <c r="CB117" s="38"/>
      <c r="CC117" s="38"/>
      <c r="CD117" s="38"/>
      <c r="CE117" s="38"/>
      <c r="CF117" s="38"/>
      <c r="CG117" s="38"/>
    </row>
    <row r="118" spans="1:85" ht="15.5" x14ac:dyDescent="0.35">
      <c r="A118" s="43">
        <v>111</v>
      </c>
      <c r="B118" s="43"/>
      <c r="C118" s="43"/>
      <c r="D118" s="7"/>
      <c r="L118" s="7"/>
      <c r="N118" s="7"/>
      <c r="O118" s="7"/>
      <c r="P118" s="7"/>
      <c r="Y118" s="24"/>
      <c r="AH118" s="7"/>
      <c r="AJ118" s="7"/>
      <c r="AK118" s="7"/>
      <c r="AL118" s="7"/>
      <c r="AU118" s="31">
        <f t="shared" si="31"/>
        <v>0</v>
      </c>
      <c r="BD118" s="5"/>
      <c r="BE118" s="5"/>
      <c r="BF118" s="5"/>
      <c r="BG118" s="5"/>
      <c r="BH118" s="5"/>
      <c r="BI118" s="5"/>
      <c r="BJ118" s="25">
        <f t="shared" si="45"/>
        <v>0</v>
      </c>
      <c r="BR118" s="33">
        <f t="shared" si="29"/>
        <v>0</v>
      </c>
      <c r="BT118" s="36">
        <f t="shared" si="38"/>
        <v>0</v>
      </c>
      <c r="BU118" s="33">
        <f t="shared" si="55"/>
        <v>0</v>
      </c>
      <c r="BV118" s="37">
        <f t="shared" si="40"/>
        <v>0</v>
      </c>
      <c r="BW118" s="37">
        <f t="shared" si="41"/>
        <v>0</v>
      </c>
      <c r="BX118" s="33">
        <f t="shared" ref="BX118:BX149" si="57">SUMPRODUCT(($E$5:$BJ$5="CO5")*(ISNUMBER(L118:BQ118))*(L118:BQ118&gt;0), L118:BQ118)</f>
        <v>0</v>
      </c>
      <c r="BY118" s="33">
        <f t="shared" si="56"/>
        <v>0</v>
      </c>
      <c r="BZ118" s="33">
        <f t="shared" si="44"/>
        <v>0</v>
      </c>
      <c r="CB118" s="38"/>
      <c r="CC118" s="38"/>
      <c r="CD118" s="38"/>
      <c r="CE118" s="38"/>
      <c r="CF118" s="38"/>
      <c r="CG118" s="38"/>
    </row>
    <row r="119" spans="1:85" ht="15.5" x14ac:dyDescent="0.35">
      <c r="A119" s="43">
        <v>112</v>
      </c>
      <c r="B119" s="43"/>
      <c r="C119" s="43"/>
      <c r="D119" s="7"/>
      <c r="L119" s="7"/>
      <c r="N119" s="7"/>
      <c r="O119" s="7"/>
      <c r="P119" s="7"/>
      <c r="Y119" s="24"/>
      <c r="AH119" s="7"/>
      <c r="AJ119" s="7"/>
      <c r="AK119" s="7"/>
      <c r="AL119" s="7"/>
      <c r="AU119" s="31">
        <f t="shared" si="31"/>
        <v>0</v>
      </c>
      <c r="BD119" s="5"/>
      <c r="BE119" s="5"/>
      <c r="BF119" s="5"/>
      <c r="BG119" s="5"/>
      <c r="BH119" s="5"/>
      <c r="BI119" s="5"/>
      <c r="BJ119" s="25">
        <f t="shared" si="45"/>
        <v>0</v>
      </c>
      <c r="BR119" s="33">
        <f t="shared" si="29"/>
        <v>0</v>
      </c>
      <c r="BT119" s="36">
        <f t="shared" si="38"/>
        <v>0</v>
      </c>
      <c r="BU119" s="33">
        <f t="shared" si="55"/>
        <v>0</v>
      </c>
      <c r="BV119" s="37">
        <f t="shared" si="40"/>
        <v>0</v>
      </c>
      <c r="BW119" s="37">
        <f t="shared" si="41"/>
        <v>0</v>
      </c>
      <c r="BX119" s="33">
        <f t="shared" si="57"/>
        <v>0</v>
      </c>
      <c r="BY119" s="33">
        <f t="shared" si="56"/>
        <v>0</v>
      </c>
      <c r="BZ119" s="33">
        <f t="shared" si="44"/>
        <v>0</v>
      </c>
      <c r="CB119" s="38"/>
      <c r="CC119" s="38"/>
      <c r="CD119" s="38"/>
      <c r="CE119" s="38"/>
      <c r="CF119" s="38"/>
      <c r="CG119" s="38"/>
    </row>
    <row r="120" spans="1:85" ht="15.5" x14ac:dyDescent="0.35">
      <c r="A120" s="43">
        <v>113</v>
      </c>
      <c r="B120" s="43"/>
      <c r="C120" s="43"/>
      <c r="D120" s="7"/>
      <c r="L120" s="7"/>
      <c r="N120" s="7"/>
      <c r="O120" s="7"/>
      <c r="P120" s="7"/>
      <c r="Y120" s="24"/>
      <c r="AH120" s="7"/>
      <c r="AJ120" s="7"/>
      <c r="AK120" s="7"/>
      <c r="AL120" s="7"/>
      <c r="AU120" s="31">
        <f t="shared" si="31"/>
        <v>0</v>
      </c>
      <c r="BD120" s="5"/>
      <c r="BE120" s="5"/>
      <c r="BF120" s="5"/>
      <c r="BG120" s="5"/>
      <c r="BH120" s="5"/>
      <c r="BI120" s="5"/>
      <c r="BJ120" s="25">
        <f t="shared" si="45"/>
        <v>0</v>
      </c>
      <c r="BR120" s="33">
        <f t="shared" si="29"/>
        <v>0</v>
      </c>
      <c r="BT120" s="36">
        <f t="shared" si="38"/>
        <v>0</v>
      </c>
      <c r="BU120" s="33">
        <f t="shared" si="55"/>
        <v>0</v>
      </c>
      <c r="BV120" s="37">
        <f t="shared" si="40"/>
        <v>0</v>
      </c>
      <c r="BW120" s="37">
        <f t="shared" si="41"/>
        <v>0</v>
      </c>
      <c r="BX120" s="33">
        <f t="shared" si="57"/>
        <v>0</v>
      </c>
      <c r="BY120" s="33">
        <f t="shared" si="56"/>
        <v>0</v>
      </c>
      <c r="BZ120" s="33">
        <f t="shared" si="44"/>
        <v>0</v>
      </c>
      <c r="CB120" s="38"/>
      <c r="CC120" s="38"/>
      <c r="CD120" s="38"/>
      <c r="CE120" s="38"/>
      <c r="CF120" s="38"/>
      <c r="CG120" s="38"/>
    </row>
    <row r="121" spans="1:85" ht="15.5" x14ac:dyDescent="0.35">
      <c r="A121" s="43">
        <v>114</v>
      </c>
      <c r="B121" s="43"/>
      <c r="C121" s="43"/>
      <c r="D121" s="7"/>
      <c r="L121" s="7"/>
      <c r="N121" s="7"/>
      <c r="O121" s="7"/>
      <c r="P121" s="7"/>
      <c r="Y121" s="24"/>
      <c r="AH121" s="7"/>
      <c r="AJ121" s="7"/>
      <c r="AK121" s="7"/>
      <c r="AL121" s="7"/>
      <c r="AU121" s="31">
        <f t="shared" si="31"/>
        <v>0</v>
      </c>
      <c r="BD121" s="5"/>
      <c r="BE121" s="5"/>
      <c r="BF121" s="5"/>
      <c r="BG121" s="5"/>
      <c r="BH121" s="5"/>
      <c r="BI121" s="5"/>
      <c r="BJ121" s="25">
        <f t="shared" si="45"/>
        <v>0</v>
      </c>
      <c r="BR121" s="33">
        <f t="shared" si="29"/>
        <v>0</v>
      </c>
      <c r="BT121" s="36">
        <f t="shared" si="38"/>
        <v>0</v>
      </c>
      <c r="BU121" s="33">
        <f t="shared" si="55"/>
        <v>0</v>
      </c>
      <c r="BV121" s="37">
        <f t="shared" si="40"/>
        <v>0</v>
      </c>
      <c r="BW121" s="37">
        <f t="shared" si="41"/>
        <v>0</v>
      </c>
      <c r="BX121" s="33">
        <f t="shared" si="57"/>
        <v>0</v>
      </c>
      <c r="BY121" s="33">
        <f t="shared" si="56"/>
        <v>0</v>
      </c>
      <c r="BZ121" s="33">
        <f t="shared" si="44"/>
        <v>0</v>
      </c>
      <c r="CB121" s="38"/>
      <c r="CC121" s="38"/>
      <c r="CD121" s="38"/>
      <c r="CE121" s="38"/>
      <c r="CF121" s="38"/>
      <c r="CG121" s="38"/>
    </row>
    <row r="122" spans="1:85" ht="15.5" x14ac:dyDescent="0.35">
      <c r="A122" s="43">
        <v>115</v>
      </c>
      <c r="B122" s="43"/>
      <c r="C122" s="43"/>
      <c r="D122" s="7"/>
      <c r="L122" s="7"/>
      <c r="N122" s="7"/>
      <c r="O122" s="7"/>
      <c r="P122" s="7"/>
      <c r="Y122" s="24"/>
      <c r="AH122" s="7"/>
      <c r="AJ122" s="7"/>
      <c r="AK122" s="7"/>
      <c r="AL122" s="7"/>
      <c r="AU122" s="31">
        <f t="shared" si="31"/>
        <v>0</v>
      </c>
      <c r="BD122" s="5"/>
      <c r="BE122" s="5"/>
      <c r="BF122" s="5"/>
      <c r="BG122" s="5"/>
      <c r="BH122" s="5"/>
      <c r="BI122" s="5"/>
      <c r="BJ122" s="25">
        <f t="shared" si="45"/>
        <v>0</v>
      </c>
      <c r="BR122" s="33">
        <f t="shared" si="29"/>
        <v>0</v>
      </c>
      <c r="BT122" s="36">
        <f t="shared" si="38"/>
        <v>0</v>
      </c>
      <c r="BU122" s="33">
        <f t="shared" si="55"/>
        <v>0</v>
      </c>
      <c r="BV122" s="37">
        <f t="shared" si="40"/>
        <v>0</v>
      </c>
      <c r="BW122" s="37">
        <f t="shared" si="41"/>
        <v>0</v>
      </c>
      <c r="BX122" s="33">
        <f t="shared" si="57"/>
        <v>0</v>
      </c>
      <c r="BY122" s="33">
        <f t="shared" si="56"/>
        <v>0</v>
      </c>
      <c r="BZ122" s="33">
        <f t="shared" si="44"/>
        <v>0</v>
      </c>
      <c r="CB122" s="38"/>
      <c r="CC122" s="38"/>
      <c r="CD122" s="38"/>
      <c r="CE122" s="38"/>
      <c r="CF122" s="38"/>
      <c r="CG122" s="38"/>
    </row>
    <row r="123" spans="1:85" ht="15.5" x14ac:dyDescent="0.35">
      <c r="A123" s="43">
        <v>116</v>
      </c>
      <c r="B123" s="43"/>
      <c r="C123" s="43"/>
      <c r="D123" s="7"/>
      <c r="L123" s="7"/>
      <c r="N123" s="7"/>
      <c r="O123" s="7"/>
      <c r="P123" s="7"/>
      <c r="Y123" s="24"/>
      <c r="AH123" s="7"/>
      <c r="AJ123" s="7"/>
      <c r="AK123" s="7"/>
      <c r="AL123" s="7"/>
      <c r="AU123" s="31">
        <f t="shared" si="31"/>
        <v>0</v>
      </c>
      <c r="BD123" s="5"/>
      <c r="BE123" s="5"/>
      <c r="BF123" s="5"/>
      <c r="BG123" s="5"/>
      <c r="BH123" s="5"/>
      <c r="BI123" s="5"/>
      <c r="BJ123" s="25">
        <f t="shared" si="45"/>
        <v>0</v>
      </c>
      <c r="BR123" s="33">
        <f t="shared" si="29"/>
        <v>0</v>
      </c>
      <c r="BT123" s="36">
        <f t="shared" si="38"/>
        <v>0</v>
      </c>
      <c r="BU123" s="33">
        <f t="shared" si="55"/>
        <v>0</v>
      </c>
      <c r="BV123" s="37">
        <f t="shared" si="40"/>
        <v>0</v>
      </c>
      <c r="BW123" s="37">
        <f t="shared" si="41"/>
        <v>0</v>
      </c>
      <c r="BX123" s="33">
        <f t="shared" si="57"/>
        <v>0</v>
      </c>
      <c r="BY123" s="33">
        <f t="shared" si="56"/>
        <v>0</v>
      </c>
      <c r="BZ123" s="33">
        <f t="shared" si="44"/>
        <v>0</v>
      </c>
      <c r="CB123" s="38"/>
      <c r="CC123" s="38"/>
      <c r="CD123" s="38"/>
      <c r="CE123" s="38"/>
      <c r="CF123" s="38"/>
      <c r="CG123" s="38"/>
    </row>
    <row r="124" spans="1:85" ht="15.5" x14ac:dyDescent="0.35">
      <c r="A124" s="43">
        <v>117</v>
      </c>
      <c r="B124" s="43"/>
      <c r="C124" s="43"/>
      <c r="D124" s="7"/>
      <c r="L124" s="7"/>
      <c r="N124" s="7"/>
      <c r="O124" s="7"/>
      <c r="P124" s="7"/>
      <c r="Y124" s="24"/>
      <c r="AH124" s="7"/>
      <c r="AJ124" s="7"/>
      <c r="AK124" s="7"/>
      <c r="AL124" s="7"/>
      <c r="AU124" s="31">
        <f t="shared" si="31"/>
        <v>0</v>
      </c>
      <c r="BD124" s="5"/>
      <c r="BE124" s="5"/>
      <c r="BF124" s="5"/>
      <c r="BG124" s="5"/>
      <c r="BH124" s="5"/>
      <c r="BI124" s="5"/>
      <c r="BJ124" s="25">
        <f t="shared" si="45"/>
        <v>0</v>
      </c>
      <c r="BR124" s="33">
        <f t="shared" si="29"/>
        <v>0</v>
      </c>
      <c r="BT124" s="36">
        <f t="shared" si="38"/>
        <v>0</v>
      </c>
      <c r="BU124" s="33">
        <f t="shared" si="55"/>
        <v>0</v>
      </c>
      <c r="BV124" s="37">
        <f t="shared" si="40"/>
        <v>0</v>
      </c>
      <c r="BW124" s="37">
        <f t="shared" si="41"/>
        <v>0</v>
      </c>
      <c r="BX124" s="33">
        <f t="shared" si="57"/>
        <v>0</v>
      </c>
      <c r="BY124" s="33">
        <f t="shared" si="56"/>
        <v>0</v>
      </c>
      <c r="BZ124" s="33">
        <f t="shared" si="44"/>
        <v>0</v>
      </c>
      <c r="CB124" s="38"/>
      <c r="CC124" s="38"/>
      <c r="CD124" s="38"/>
      <c r="CE124" s="38"/>
      <c r="CF124" s="38"/>
      <c r="CG124" s="38"/>
    </row>
    <row r="125" spans="1:85" ht="15.5" x14ac:dyDescent="0.35">
      <c r="A125" s="43">
        <v>118</v>
      </c>
      <c r="B125" s="43"/>
      <c r="C125" s="43"/>
      <c r="D125" s="7"/>
      <c r="L125" s="7"/>
      <c r="N125" s="7"/>
      <c r="O125" s="7"/>
      <c r="P125" s="7"/>
      <c r="Y125" s="24"/>
      <c r="AH125" s="7"/>
      <c r="AJ125" s="7"/>
      <c r="AK125" s="7"/>
      <c r="AL125" s="7"/>
      <c r="AU125" s="31">
        <f t="shared" si="31"/>
        <v>0</v>
      </c>
      <c r="BD125" s="5"/>
      <c r="BE125" s="5"/>
      <c r="BF125" s="5"/>
      <c r="BG125" s="5"/>
      <c r="BH125" s="5"/>
      <c r="BI125" s="5"/>
      <c r="BJ125" s="25">
        <f t="shared" si="45"/>
        <v>0</v>
      </c>
      <c r="BR125" s="33">
        <f t="shared" si="29"/>
        <v>0</v>
      </c>
      <c r="BT125" s="36">
        <f t="shared" si="38"/>
        <v>0</v>
      </c>
      <c r="BU125" s="33">
        <f t="shared" si="55"/>
        <v>0</v>
      </c>
      <c r="BV125" s="37">
        <f t="shared" si="40"/>
        <v>0</v>
      </c>
      <c r="BW125" s="37">
        <f t="shared" si="41"/>
        <v>0</v>
      </c>
      <c r="BX125" s="33">
        <f t="shared" si="57"/>
        <v>0</v>
      </c>
      <c r="BY125" s="33">
        <f t="shared" si="56"/>
        <v>0</v>
      </c>
      <c r="BZ125" s="33">
        <f t="shared" si="44"/>
        <v>0</v>
      </c>
      <c r="CB125" s="38"/>
      <c r="CC125" s="38"/>
      <c r="CD125" s="38"/>
      <c r="CE125" s="38"/>
      <c r="CF125" s="38"/>
      <c r="CG125" s="38"/>
    </row>
    <row r="126" spans="1:85" ht="15.5" x14ac:dyDescent="0.35">
      <c r="A126" s="43">
        <v>119</v>
      </c>
      <c r="B126" s="43"/>
      <c r="C126" s="43"/>
      <c r="D126" s="7"/>
      <c r="L126" s="7"/>
      <c r="N126" s="7"/>
      <c r="O126" s="7"/>
      <c r="P126" s="7"/>
      <c r="Y126" s="24"/>
      <c r="AH126" s="7"/>
      <c r="AJ126" s="7"/>
      <c r="AK126" s="7"/>
      <c r="AL126" s="7"/>
      <c r="AU126" s="31">
        <f t="shared" si="31"/>
        <v>0</v>
      </c>
      <c r="BD126" s="5"/>
      <c r="BE126" s="5"/>
      <c r="BF126" s="5"/>
      <c r="BG126" s="5"/>
      <c r="BH126" s="5"/>
      <c r="BI126" s="5"/>
      <c r="BJ126" s="25">
        <f t="shared" si="45"/>
        <v>0</v>
      </c>
      <c r="BT126" s="36">
        <f t="shared" si="38"/>
        <v>0</v>
      </c>
      <c r="BU126" s="33">
        <f t="shared" si="55"/>
        <v>0</v>
      </c>
      <c r="BV126" s="37">
        <f t="shared" si="40"/>
        <v>0</v>
      </c>
      <c r="BW126" s="37">
        <f t="shared" si="41"/>
        <v>0</v>
      </c>
      <c r="BX126" s="33">
        <f t="shared" si="57"/>
        <v>0</v>
      </c>
      <c r="BY126" s="33">
        <f t="shared" si="56"/>
        <v>0</v>
      </c>
      <c r="BZ126" s="33">
        <f t="shared" si="44"/>
        <v>0</v>
      </c>
      <c r="CB126" s="38"/>
      <c r="CC126" s="38"/>
      <c r="CD126" s="38"/>
      <c r="CE126" s="38"/>
      <c r="CF126" s="38"/>
      <c r="CG126" s="38"/>
    </row>
    <row r="127" spans="1:85" ht="15.5" x14ac:dyDescent="0.35">
      <c r="A127" s="43">
        <v>120</v>
      </c>
      <c r="B127" s="43"/>
      <c r="C127" s="43"/>
      <c r="D127" s="7"/>
      <c r="L127" s="7"/>
      <c r="N127" s="7"/>
      <c r="O127" s="7"/>
      <c r="P127" s="7"/>
      <c r="Y127" s="24"/>
      <c r="AH127" s="7"/>
      <c r="AJ127" s="7"/>
      <c r="AK127" s="7"/>
      <c r="AL127" s="7"/>
      <c r="AU127" s="31">
        <f t="shared" si="31"/>
        <v>0</v>
      </c>
      <c r="BD127" s="5"/>
      <c r="BE127" s="5"/>
      <c r="BF127" s="5"/>
      <c r="BG127" s="5"/>
      <c r="BH127" s="5"/>
      <c r="BI127" s="5"/>
      <c r="BJ127" s="25">
        <f t="shared" si="45"/>
        <v>0</v>
      </c>
      <c r="BT127" s="36">
        <f t="shared" si="38"/>
        <v>0</v>
      </c>
      <c r="BU127" s="33">
        <f t="shared" si="55"/>
        <v>0</v>
      </c>
      <c r="BV127" s="37">
        <f t="shared" si="40"/>
        <v>0</v>
      </c>
      <c r="BW127" s="37">
        <f t="shared" si="41"/>
        <v>0</v>
      </c>
      <c r="BX127" s="33">
        <f t="shared" si="57"/>
        <v>0</v>
      </c>
      <c r="BY127" s="33">
        <f t="shared" si="56"/>
        <v>0</v>
      </c>
      <c r="BZ127" s="33">
        <f t="shared" si="44"/>
        <v>0</v>
      </c>
      <c r="CB127" s="38"/>
      <c r="CC127" s="38"/>
      <c r="CD127" s="38"/>
      <c r="CE127" s="38"/>
      <c r="CF127" s="38"/>
      <c r="CG127" s="38"/>
    </row>
    <row r="128" spans="1:85" ht="15.5" x14ac:dyDescent="0.35">
      <c r="A128" s="43">
        <v>121</v>
      </c>
      <c r="B128" s="43"/>
      <c r="C128" s="43"/>
      <c r="D128" s="7"/>
      <c r="L128" s="7"/>
      <c r="N128" s="7"/>
      <c r="O128" s="7"/>
      <c r="P128" s="7"/>
      <c r="Y128" s="24"/>
      <c r="AH128" s="7"/>
      <c r="AJ128" s="7"/>
      <c r="AK128" s="7"/>
      <c r="AL128" s="7"/>
      <c r="AU128" s="31">
        <f t="shared" si="31"/>
        <v>0</v>
      </c>
      <c r="BD128" s="5"/>
      <c r="BE128" s="5"/>
      <c r="BF128" s="5"/>
      <c r="BG128" s="5"/>
      <c r="BH128" s="5"/>
      <c r="BI128" s="5"/>
      <c r="BJ128" s="25">
        <f t="shared" si="45"/>
        <v>0</v>
      </c>
      <c r="BT128" s="36">
        <f t="shared" si="38"/>
        <v>0</v>
      </c>
      <c r="BU128" s="33">
        <f t="shared" si="55"/>
        <v>0</v>
      </c>
      <c r="BV128" s="37">
        <f t="shared" si="40"/>
        <v>0</v>
      </c>
      <c r="BW128" s="37">
        <f t="shared" si="41"/>
        <v>0</v>
      </c>
      <c r="BX128" s="33">
        <f t="shared" si="57"/>
        <v>0</v>
      </c>
      <c r="BY128" s="33">
        <f t="shared" si="56"/>
        <v>0</v>
      </c>
      <c r="BZ128" s="33">
        <f t="shared" si="44"/>
        <v>0</v>
      </c>
      <c r="CB128" s="38"/>
      <c r="CC128" s="38"/>
      <c r="CD128" s="38"/>
      <c r="CE128" s="38"/>
      <c r="CF128" s="38"/>
      <c r="CG128" s="38"/>
    </row>
    <row r="129" spans="1:85" ht="15.5" x14ac:dyDescent="0.35">
      <c r="A129" s="43">
        <v>122</v>
      </c>
      <c r="B129" s="43"/>
      <c r="C129" s="43"/>
      <c r="D129" s="7"/>
      <c r="L129" s="7"/>
      <c r="N129" s="7"/>
      <c r="O129" s="7"/>
      <c r="P129" s="7"/>
      <c r="Y129" s="24"/>
      <c r="AH129" s="7"/>
      <c r="AJ129" s="7"/>
      <c r="AK129" s="7"/>
      <c r="AL129" s="7"/>
      <c r="AU129" s="31">
        <f t="shared" si="31"/>
        <v>0</v>
      </c>
      <c r="BD129" s="5"/>
      <c r="BE129" s="5"/>
      <c r="BF129" s="5"/>
      <c r="BG129" s="5"/>
      <c r="BH129" s="5"/>
      <c r="BI129" s="5"/>
      <c r="BJ129" s="25">
        <f t="shared" si="45"/>
        <v>0</v>
      </c>
      <c r="BT129" s="36">
        <f t="shared" si="38"/>
        <v>0</v>
      </c>
      <c r="BU129" s="33">
        <f t="shared" si="55"/>
        <v>0</v>
      </c>
      <c r="BV129" s="37">
        <f t="shared" si="40"/>
        <v>0</v>
      </c>
      <c r="BW129" s="37">
        <f t="shared" si="41"/>
        <v>0</v>
      </c>
      <c r="BX129" s="33">
        <f t="shared" si="57"/>
        <v>0</v>
      </c>
      <c r="BY129" s="33">
        <f t="shared" si="56"/>
        <v>0</v>
      </c>
      <c r="BZ129" s="33">
        <f t="shared" si="44"/>
        <v>0</v>
      </c>
      <c r="CB129" s="38"/>
      <c r="CC129" s="38"/>
      <c r="CD129" s="38"/>
      <c r="CE129" s="38"/>
      <c r="CF129" s="38"/>
      <c r="CG129" s="38"/>
    </row>
    <row r="130" spans="1:85" ht="15.5" x14ac:dyDescent="0.35">
      <c r="A130" s="43">
        <v>123</v>
      </c>
      <c r="B130" s="43"/>
      <c r="C130" s="43"/>
      <c r="D130" s="7"/>
      <c r="L130" s="7"/>
      <c r="N130" s="7"/>
      <c r="O130" s="7"/>
      <c r="P130" s="7"/>
      <c r="Y130" s="24"/>
      <c r="AH130" s="7"/>
      <c r="AJ130" s="7"/>
      <c r="AK130" s="7"/>
      <c r="AL130" s="7"/>
      <c r="AU130" s="31">
        <f t="shared" si="31"/>
        <v>0</v>
      </c>
      <c r="BD130" s="5"/>
      <c r="BE130" s="5"/>
      <c r="BF130" s="5"/>
      <c r="BG130" s="5"/>
      <c r="BH130" s="5"/>
      <c r="BI130" s="5"/>
      <c r="BJ130" s="25">
        <f t="shared" si="45"/>
        <v>0</v>
      </c>
      <c r="BT130" s="36">
        <f t="shared" si="38"/>
        <v>0</v>
      </c>
      <c r="BU130" s="33">
        <f t="shared" si="55"/>
        <v>0</v>
      </c>
      <c r="BV130" s="37">
        <f t="shared" si="40"/>
        <v>0</v>
      </c>
      <c r="BW130" s="37">
        <f t="shared" si="41"/>
        <v>0</v>
      </c>
      <c r="BX130" s="33">
        <f t="shared" si="57"/>
        <v>0</v>
      </c>
      <c r="BY130" s="33">
        <f t="shared" si="56"/>
        <v>0</v>
      </c>
      <c r="BZ130" s="33">
        <f t="shared" si="44"/>
        <v>0</v>
      </c>
      <c r="CB130" s="38"/>
      <c r="CC130" s="38"/>
      <c r="CD130" s="38"/>
      <c r="CE130" s="38"/>
      <c r="CF130" s="38"/>
      <c r="CG130" s="38"/>
    </row>
    <row r="131" spans="1:85" ht="15.5" x14ac:dyDescent="0.35">
      <c r="A131" s="43">
        <v>124</v>
      </c>
      <c r="B131" s="43"/>
      <c r="C131" s="43"/>
      <c r="D131" s="7"/>
      <c r="L131" s="7"/>
      <c r="N131" s="7"/>
      <c r="O131" s="7"/>
      <c r="P131" s="7"/>
      <c r="Y131" s="24"/>
      <c r="AH131" s="7"/>
      <c r="AJ131" s="7"/>
      <c r="AK131" s="7"/>
      <c r="AL131" s="7"/>
      <c r="AU131" s="31">
        <f t="shared" si="31"/>
        <v>0</v>
      </c>
      <c r="BD131" s="5"/>
      <c r="BE131" s="5"/>
      <c r="BF131" s="5"/>
      <c r="BG131" s="5"/>
      <c r="BH131" s="5"/>
      <c r="BI131" s="5"/>
      <c r="BJ131" s="25">
        <f t="shared" si="45"/>
        <v>0</v>
      </c>
      <c r="BT131" s="36">
        <f t="shared" si="38"/>
        <v>0</v>
      </c>
      <c r="BU131" s="33">
        <f t="shared" si="55"/>
        <v>0</v>
      </c>
      <c r="BV131" s="37">
        <f t="shared" si="40"/>
        <v>0</v>
      </c>
      <c r="BW131" s="37">
        <f t="shared" si="41"/>
        <v>0</v>
      </c>
      <c r="BX131" s="33">
        <f t="shared" si="57"/>
        <v>0</v>
      </c>
      <c r="BY131" s="33">
        <f t="shared" si="56"/>
        <v>0</v>
      </c>
      <c r="BZ131" s="33">
        <f t="shared" si="44"/>
        <v>0</v>
      </c>
      <c r="CB131" s="38"/>
      <c r="CC131" s="38"/>
      <c r="CD131" s="38"/>
      <c r="CE131" s="38"/>
      <c r="CF131" s="38"/>
      <c r="CG131" s="38"/>
    </row>
    <row r="132" spans="1:85" ht="15.5" x14ac:dyDescent="0.35">
      <c r="A132" s="43">
        <v>125</v>
      </c>
      <c r="B132" s="43"/>
      <c r="C132" s="43"/>
      <c r="D132" s="7"/>
      <c r="L132" s="7"/>
      <c r="N132" s="7"/>
      <c r="O132" s="7"/>
      <c r="P132" s="7"/>
      <c r="Y132" s="24"/>
      <c r="AH132" s="7"/>
      <c r="AJ132" s="7"/>
      <c r="AK132" s="7"/>
      <c r="AL132" s="7"/>
      <c r="AU132" s="31">
        <f t="shared" si="31"/>
        <v>0</v>
      </c>
      <c r="BT132" s="36">
        <f t="shared" si="38"/>
        <v>0</v>
      </c>
      <c r="BU132" s="33">
        <f t="shared" si="55"/>
        <v>0</v>
      </c>
      <c r="BV132" s="37">
        <f t="shared" si="40"/>
        <v>0</v>
      </c>
      <c r="BW132" s="37">
        <f t="shared" si="41"/>
        <v>0</v>
      </c>
      <c r="BX132" s="33">
        <f t="shared" si="57"/>
        <v>0</v>
      </c>
      <c r="BY132" s="33">
        <f t="shared" si="56"/>
        <v>0</v>
      </c>
      <c r="BZ132" s="33">
        <f t="shared" si="44"/>
        <v>0</v>
      </c>
      <c r="CB132" s="38"/>
      <c r="CC132" s="38"/>
      <c r="CD132" s="38"/>
      <c r="CE132" s="38"/>
      <c r="CF132" s="38"/>
      <c r="CG132" s="38"/>
    </row>
    <row r="133" spans="1:85" ht="15.5" x14ac:dyDescent="0.35">
      <c r="A133" s="43">
        <v>126</v>
      </c>
      <c r="B133" s="43"/>
      <c r="C133" s="43"/>
      <c r="D133" s="7"/>
      <c r="L133" s="7"/>
      <c r="N133" s="7"/>
      <c r="O133" s="7"/>
      <c r="P133" s="7"/>
      <c r="Y133" s="24"/>
      <c r="AH133" s="7"/>
      <c r="AJ133" s="7"/>
      <c r="AK133" s="7"/>
      <c r="AL133" s="7"/>
      <c r="AU133" s="31">
        <f t="shared" si="31"/>
        <v>0</v>
      </c>
      <c r="BT133" s="36">
        <f t="shared" si="38"/>
        <v>0</v>
      </c>
      <c r="BU133" s="33">
        <f t="shared" si="55"/>
        <v>0</v>
      </c>
      <c r="BV133" s="37">
        <f t="shared" si="40"/>
        <v>0</v>
      </c>
      <c r="BW133" s="37">
        <f t="shared" si="41"/>
        <v>0</v>
      </c>
      <c r="BX133" s="33">
        <f t="shared" si="57"/>
        <v>0</v>
      </c>
      <c r="BY133" s="33">
        <f t="shared" si="56"/>
        <v>0</v>
      </c>
      <c r="BZ133" s="33">
        <f t="shared" si="44"/>
        <v>0</v>
      </c>
      <c r="CB133" s="38"/>
      <c r="CC133" s="38"/>
      <c r="CD133" s="38"/>
      <c r="CE133" s="38"/>
      <c r="CF133" s="38"/>
      <c r="CG133" s="38"/>
    </row>
    <row r="134" spans="1:85" ht="15.5" x14ac:dyDescent="0.35">
      <c r="A134" s="43">
        <v>127</v>
      </c>
      <c r="B134" s="43"/>
      <c r="C134" s="43"/>
      <c r="D134" s="7"/>
      <c r="L134" s="7"/>
      <c r="N134" s="7"/>
      <c r="O134" s="7"/>
      <c r="P134" s="7"/>
      <c r="Y134" s="24"/>
      <c r="AH134" s="7"/>
      <c r="AJ134" s="7"/>
      <c r="AK134" s="7"/>
      <c r="AL134" s="7"/>
      <c r="AU134" s="31">
        <f t="shared" si="31"/>
        <v>0</v>
      </c>
      <c r="BT134" s="36">
        <f t="shared" si="38"/>
        <v>0</v>
      </c>
      <c r="BU134" s="33">
        <f t="shared" si="55"/>
        <v>0</v>
      </c>
      <c r="BV134" s="37">
        <f t="shared" si="40"/>
        <v>0</v>
      </c>
      <c r="BW134" s="37">
        <f t="shared" si="41"/>
        <v>0</v>
      </c>
      <c r="BX134" s="33">
        <f t="shared" si="57"/>
        <v>0</v>
      </c>
      <c r="BY134" s="33">
        <f t="shared" si="56"/>
        <v>0</v>
      </c>
      <c r="BZ134" s="33">
        <f t="shared" si="44"/>
        <v>0</v>
      </c>
      <c r="CB134" s="38"/>
      <c r="CC134" s="38"/>
      <c r="CD134" s="38"/>
      <c r="CE134" s="38"/>
      <c r="CF134" s="38"/>
      <c r="CG134" s="38"/>
    </row>
    <row r="135" spans="1:85" ht="15.5" x14ac:dyDescent="0.35">
      <c r="A135" s="43">
        <v>128</v>
      </c>
      <c r="B135" s="43"/>
      <c r="C135" s="43"/>
      <c r="D135" s="7"/>
      <c r="L135" s="7"/>
      <c r="N135" s="7"/>
      <c r="O135" s="7"/>
      <c r="P135" s="7"/>
      <c r="Y135" s="24"/>
      <c r="AH135" s="7"/>
      <c r="AJ135" s="7"/>
      <c r="AK135" s="7"/>
      <c r="AL135" s="7"/>
      <c r="AU135" s="31">
        <f t="shared" si="31"/>
        <v>0</v>
      </c>
      <c r="BT135" s="36">
        <f t="shared" si="38"/>
        <v>0</v>
      </c>
      <c r="BU135" s="33">
        <f t="shared" si="55"/>
        <v>0</v>
      </c>
      <c r="BV135" s="37">
        <f t="shared" si="40"/>
        <v>0</v>
      </c>
      <c r="BW135" s="37">
        <f t="shared" si="41"/>
        <v>0</v>
      </c>
      <c r="BX135" s="33">
        <f t="shared" si="57"/>
        <v>0</v>
      </c>
      <c r="BY135" s="33">
        <f t="shared" si="56"/>
        <v>0</v>
      </c>
      <c r="BZ135" s="33">
        <f t="shared" si="44"/>
        <v>0</v>
      </c>
      <c r="CB135" s="38"/>
      <c r="CC135" s="38"/>
      <c r="CD135" s="38"/>
      <c r="CE135" s="38"/>
      <c r="CF135" s="38"/>
      <c r="CG135" s="38"/>
    </row>
    <row r="136" spans="1:85" ht="15.5" x14ac:dyDescent="0.35">
      <c r="A136" s="43">
        <v>129</v>
      </c>
      <c r="B136" s="43"/>
      <c r="C136" s="43"/>
      <c r="D136" s="7"/>
      <c r="L136" s="7"/>
      <c r="N136" s="7"/>
      <c r="O136" s="7"/>
      <c r="P136" s="7"/>
      <c r="Y136" s="24"/>
      <c r="AH136" s="7"/>
      <c r="AJ136" s="7"/>
      <c r="AK136" s="7"/>
      <c r="AL136" s="7"/>
      <c r="AU136" s="31">
        <f t="shared" ref="AU136:AU192" si="58">SUM(AA136:AL136)+(IF(AM136&lt;&gt;"",AM136,AN136))+(IF(AO136&lt;&gt;"",AO136,AP136))+(IF(AQ136&lt;&gt;"",AQ136,AR136))+(IF(AS136&lt;&gt;"",AS136,AT136))</f>
        <v>0</v>
      </c>
      <c r="BT136" s="36">
        <f t="shared" ref="BT136:BT195" si="59">SUMPRODUCT(($AW$5:$BQ$5="CO1")*AW136:BQ136)</f>
        <v>0</v>
      </c>
      <c r="BU136" s="33">
        <f t="shared" si="55"/>
        <v>0</v>
      </c>
      <c r="BV136" s="37">
        <f t="shared" ref="BV136:BV138" si="60">SUMPRODUCT(($AW$5:$BR$5="CO3")*AW136:BR136)</f>
        <v>0</v>
      </c>
      <c r="BW136" s="37">
        <f t="shared" ref="BW136:BW173" si="61">SUMPRODUCT(($AW$5:$BR$5="CO4")*AW136:BR136)</f>
        <v>0</v>
      </c>
      <c r="BX136" s="33">
        <f t="shared" si="57"/>
        <v>0</v>
      </c>
      <c r="BY136" s="33">
        <f t="shared" si="56"/>
        <v>0</v>
      </c>
      <c r="BZ136" s="33">
        <f t="shared" ref="BZ136:BZ199" si="62">SUM(BT136:BY136)</f>
        <v>0</v>
      </c>
      <c r="CB136" s="38"/>
      <c r="CC136" s="38"/>
      <c r="CD136" s="38"/>
      <c r="CE136" s="38"/>
      <c r="CF136" s="38"/>
      <c r="CG136" s="38"/>
    </row>
    <row r="137" spans="1:85" ht="15.5" x14ac:dyDescent="0.35">
      <c r="A137" s="43">
        <v>130</v>
      </c>
      <c r="B137" s="43"/>
      <c r="C137" s="43"/>
      <c r="D137" s="7"/>
      <c r="L137" s="7"/>
      <c r="N137" s="7"/>
      <c r="O137" s="7"/>
      <c r="P137" s="7"/>
      <c r="Y137" s="24"/>
      <c r="AH137" s="7"/>
      <c r="AJ137" s="7"/>
      <c r="AK137" s="7"/>
      <c r="AL137" s="7"/>
      <c r="AU137" s="31">
        <f t="shared" si="58"/>
        <v>0</v>
      </c>
      <c r="BT137" s="36">
        <f t="shared" si="59"/>
        <v>0</v>
      </c>
      <c r="BU137" s="33">
        <f t="shared" si="55"/>
        <v>0</v>
      </c>
      <c r="BV137" s="37">
        <f t="shared" si="60"/>
        <v>0</v>
      </c>
      <c r="BW137" s="37">
        <f t="shared" si="61"/>
        <v>0</v>
      </c>
      <c r="BX137" s="33">
        <f t="shared" si="57"/>
        <v>0</v>
      </c>
      <c r="BY137" s="33">
        <f t="shared" si="56"/>
        <v>0</v>
      </c>
      <c r="BZ137" s="33">
        <f t="shared" si="62"/>
        <v>0</v>
      </c>
      <c r="CB137" s="38"/>
      <c r="CC137" s="38"/>
      <c r="CD137" s="38"/>
      <c r="CE137" s="38"/>
      <c r="CF137" s="38"/>
      <c r="CG137" s="38"/>
    </row>
    <row r="138" spans="1:85" ht="15.5" x14ac:dyDescent="0.35">
      <c r="A138" s="43">
        <v>131</v>
      </c>
      <c r="B138" s="43"/>
      <c r="C138" s="43"/>
      <c r="D138" s="7"/>
      <c r="L138" s="7"/>
      <c r="N138" s="7"/>
      <c r="O138" s="7"/>
      <c r="P138" s="7"/>
      <c r="Y138" s="24"/>
      <c r="AH138" s="7"/>
      <c r="AJ138" s="7"/>
      <c r="AK138" s="7"/>
      <c r="AL138" s="7"/>
      <c r="AU138" s="31">
        <f t="shared" si="58"/>
        <v>0</v>
      </c>
      <c r="BT138" s="36">
        <f t="shared" si="59"/>
        <v>0</v>
      </c>
      <c r="BU138" s="33">
        <f t="shared" si="55"/>
        <v>0</v>
      </c>
      <c r="BV138" s="37">
        <f t="shared" si="60"/>
        <v>0</v>
      </c>
      <c r="BW138" s="37">
        <f t="shared" si="61"/>
        <v>0</v>
      </c>
      <c r="BX138" s="33">
        <f t="shared" si="57"/>
        <v>0</v>
      </c>
      <c r="BY138" s="33">
        <f t="shared" si="56"/>
        <v>0</v>
      </c>
      <c r="BZ138" s="33">
        <f t="shared" si="62"/>
        <v>0</v>
      </c>
      <c r="CB138" s="38"/>
      <c r="CC138" s="38"/>
      <c r="CD138" s="38"/>
      <c r="CE138" s="38"/>
      <c r="CF138" s="38"/>
      <c r="CG138" s="38"/>
    </row>
    <row r="139" spans="1:85" ht="15.5" x14ac:dyDescent="0.35">
      <c r="A139" s="43">
        <v>132</v>
      </c>
      <c r="B139" s="43"/>
      <c r="C139" s="43"/>
      <c r="D139" s="7"/>
      <c r="L139" s="7"/>
      <c r="N139" s="7"/>
      <c r="O139" s="7"/>
      <c r="P139" s="7"/>
      <c r="Y139" s="24"/>
      <c r="AH139" s="7"/>
      <c r="AJ139" s="7"/>
      <c r="AK139" s="7"/>
      <c r="AL139" s="7"/>
      <c r="AU139" s="31">
        <f t="shared" si="58"/>
        <v>0</v>
      </c>
      <c r="BT139" s="36">
        <f t="shared" si="59"/>
        <v>0</v>
      </c>
      <c r="BU139" s="33">
        <f t="shared" si="55"/>
        <v>0</v>
      </c>
      <c r="BV139" s="33">
        <f t="shared" ref="BV139:BV170" si="63">SUMPRODUCT(($E$5:$BJ$5="CO3")*(ISNUMBER(L139:BQ139))*(L139:BQ139&gt;0), L139:BQ139)</f>
        <v>0</v>
      </c>
      <c r="BW139" s="37">
        <f t="shared" si="61"/>
        <v>0</v>
      </c>
      <c r="BX139" s="33">
        <f t="shared" si="57"/>
        <v>0</v>
      </c>
      <c r="BY139" s="33">
        <f t="shared" si="56"/>
        <v>0</v>
      </c>
      <c r="BZ139" s="33">
        <f t="shared" si="62"/>
        <v>0</v>
      </c>
      <c r="CB139" s="38"/>
      <c r="CC139" s="38"/>
      <c r="CD139" s="38"/>
      <c r="CE139" s="38"/>
      <c r="CF139" s="38"/>
      <c r="CG139" s="38"/>
    </row>
    <row r="140" spans="1:85" ht="15.5" x14ac:dyDescent="0.35">
      <c r="A140" s="43">
        <v>133</v>
      </c>
      <c r="B140" s="43"/>
      <c r="C140" s="43"/>
      <c r="D140" s="7"/>
      <c r="L140" s="7"/>
      <c r="N140" s="7"/>
      <c r="O140" s="7"/>
      <c r="P140" s="7"/>
      <c r="Y140" s="24"/>
      <c r="AH140" s="7"/>
      <c r="AJ140" s="7"/>
      <c r="AK140" s="7"/>
      <c r="AL140" s="7"/>
      <c r="AU140" s="31">
        <f t="shared" si="58"/>
        <v>0</v>
      </c>
      <c r="BT140" s="36">
        <f t="shared" si="59"/>
        <v>0</v>
      </c>
      <c r="BU140" s="33">
        <f t="shared" si="55"/>
        <v>0</v>
      </c>
      <c r="BV140" s="33">
        <f t="shared" si="63"/>
        <v>0</v>
      </c>
      <c r="BW140" s="37">
        <f t="shared" si="61"/>
        <v>0</v>
      </c>
      <c r="BX140" s="33">
        <f t="shared" si="57"/>
        <v>0</v>
      </c>
      <c r="BY140" s="33">
        <f t="shared" si="56"/>
        <v>0</v>
      </c>
      <c r="BZ140" s="33">
        <f t="shared" si="62"/>
        <v>0</v>
      </c>
      <c r="CB140" s="38"/>
      <c r="CC140" s="38"/>
      <c r="CD140" s="38"/>
      <c r="CE140" s="38"/>
      <c r="CF140" s="38"/>
      <c r="CG140" s="38"/>
    </row>
    <row r="141" spans="1:85" ht="15.5" x14ac:dyDescent="0.35">
      <c r="A141" s="43">
        <v>134</v>
      </c>
      <c r="B141" s="43"/>
      <c r="C141" s="43"/>
      <c r="D141" s="7"/>
      <c r="L141" s="7"/>
      <c r="N141" s="7"/>
      <c r="O141" s="7"/>
      <c r="P141" s="7"/>
      <c r="Y141" s="24"/>
      <c r="AH141" s="7"/>
      <c r="AJ141" s="7"/>
      <c r="AK141" s="7"/>
      <c r="AL141" s="7"/>
      <c r="AU141" s="31">
        <f t="shared" si="58"/>
        <v>0</v>
      </c>
      <c r="BT141" s="36">
        <f t="shared" si="59"/>
        <v>0</v>
      </c>
      <c r="BU141" s="33">
        <f t="shared" si="55"/>
        <v>0</v>
      </c>
      <c r="BV141" s="33">
        <f t="shared" si="63"/>
        <v>0</v>
      </c>
      <c r="BW141" s="37">
        <f t="shared" si="61"/>
        <v>0</v>
      </c>
      <c r="BX141" s="33">
        <f t="shared" si="57"/>
        <v>0</v>
      </c>
      <c r="BY141" s="33">
        <f t="shared" si="56"/>
        <v>0</v>
      </c>
      <c r="BZ141" s="33">
        <f t="shared" si="62"/>
        <v>0</v>
      </c>
      <c r="CB141" s="38"/>
      <c r="CC141" s="38"/>
      <c r="CD141" s="38"/>
      <c r="CE141" s="38"/>
      <c r="CF141" s="38"/>
      <c r="CG141" s="38"/>
    </row>
    <row r="142" spans="1:85" ht="15.5" x14ac:dyDescent="0.35">
      <c r="A142" s="43">
        <v>135</v>
      </c>
      <c r="B142" s="43"/>
      <c r="C142" s="43"/>
      <c r="D142" s="7"/>
      <c r="L142" s="7"/>
      <c r="N142" s="7"/>
      <c r="O142" s="7"/>
      <c r="P142" s="7"/>
      <c r="Y142" s="24"/>
      <c r="AH142" s="7"/>
      <c r="AJ142" s="7"/>
      <c r="AK142" s="7"/>
      <c r="AL142" s="7"/>
      <c r="AU142" s="31">
        <f t="shared" si="58"/>
        <v>0</v>
      </c>
      <c r="BT142" s="36">
        <f t="shared" si="59"/>
        <v>0</v>
      </c>
      <c r="BU142" s="33">
        <f t="shared" ref="BU142:BU173" si="64">SUMPRODUCT(($E$5:$BJ$5="CO2")*(ISNUMBER(L142:BQ142))*(L142:BQ142&gt;0), L142:BQ142)</f>
        <v>0</v>
      </c>
      <c r="BV142" s="33">
        <f t="shared" si="63"/>
        <v>0</v>
      </c>
      <c r="BW142" s="37">
        <f t="shared" si="61"/>
        <v>0</v>
      </c>
      <c r="BX142" s="33">
        <f t="shared" si="57"/>
        <v>0</v>
      </c>
      <c r="BY142" s="33">
        <f t="shared" ref="BY142:BY173" si="65">SUMPRODUCT(($E$5:$BJ$5="CO6")*(ISNUMBER(L142:BQ142))*(L142:BQ142&gt;0), L142:BQ142)</f>
        <v>0</v>
      </c>
      <c r="BZ142" s="33">
        <f t="shared" si="62"/>
        <v>0</v>
      </c>
      <c r="CB142" s="38"/>
      <c r="CC142" s="38"/>
      <c r="CD142" s="38"/>
      <c r="CE142" s="38"/>
      <c r="CF142" s="38"/>
      <c r="CG142" s="38"/>
    </row>
    <row r="143" spans="1:85" ht="15.5" x14ac:dyDescent="0.35">
      <c r="A143" s="43">
        <v>136</v>
      </c>
      <c r="B143" s="43"/>
      <c r="C143" s="43"/>
      <c r="D143" s="7"/>
      <c r="L143" s="7"/>
      <c r="N143" s="7"/>
      <c r="O143" s="7"/>
      <c r="P143" s="7"/>
      <c r="Y143" s="24"/>
      <c r="AH143" s="7"/>
      <c r="AJ143" s="7"/>
      <c r="AK143" s="7"/>
      <c r="AL143" s="7"/>
      <c r="AU143" s="31">
        <f t="shared" si="58"/>
        <v>0</v>
      </c>
      <c r="BT143" s="36">
        <f t="shared" si="59"/>
        <v>0</v>
      </c>
      <c r="BU143" s="33">
        <f t="shared" si="64"/>
        <v>0</v>
      </c>
      <c r="BV143" s="33">
        <f t="shared" si="63"/>
        <v>0</v>
      </c>
      <c r="BW143" s="37">
        <f t="shared" si="61"/>
        <v>0</v>
      </c>
      <c r="BX143" s="33">
        <f t="shared" si="57"/>
        <v>0</v>
      </c>
      <c r="BY143" s="33">
        <f t="shared" si="65"/>
        <v>0</v>
      </c>
      <c r="BZ143" s="33">
        <f t="shared" si="62"/>
        <v>0</v>
      </c>
      <c r="CB143" s="38"/>
      <c r="CC143" s="38"/>
      <c r="CD143" s="38"/>
      <c r="CE143" s="38"/>
      <c r="CF143" s="38"/>
      <c r="CG143" s="38"/>
    </row>
    <row r="144" spans="1:85" ht="15.5" x14ac:dyDescent="0.35">
      <c r="A144" s="43">
        <v>137</v>
      </c>
      <c r="B144" s="43"/>
      <c r="C144" s="43"/>
      <c r="D144" s="7"/>
      <c r="L144" s="7"/>
      <c r="N144" s="7"/>
      <c r="O144" s="7"/>
      <c r="P144" s="7"/>
      <c r="Y144" s="24"/>
      <c r="AH144" s="7"/>
      <c r="AJ144" s="7"/>
      <c r="AK144" s="7"/>
      <c r="AL144" s="7"/>
      <c r="AU144" s="31">
        <f t="shared" si="58"/>
        <v>0</v>
      </c>
      <c r="BT144" s="36">
        <f t="shared" si="59"/>
        <v>0</v>
      </c>
      <c r="BU144" s="33">
        <f t="shared" si="64"/>
        <v>0</v>
      </c>
      <c r="BV144" s="33">
        <f t="shared" si="63"/>
        <v>0</v>
      </c>
      <c r="BW144" s="37">
        <f t="shared" si="61"/>
        <v>0</v>
      </c>
      <c r="BX144" s="33">
        <f t="shared" si="57"/>
        <v>0</v>
      </c>
      <c r="BY144" s="33">
        <f t="shared" si="65"/>
        <v>0</v>
      </c>
      <c r="BZ144" s="33">
        <f t="shared" si="62"/>
        <v>0</v>
      </c>
      <c r="CB144" s="38"/>
      <c r="CC144" s="38"/>
      <c r="CD144" s="38"/>
      <c r="CE144" s="38"/>
      <c r="CF144" s="38"/>
      <c r="CG144" s="38"/>
    </row>
    <row r="145" spans="1:85" ht="15.5" x14ac:dyDescent="0.35">
      <c r="A145" s="43">
        <v>138</v>
      </c>
      <c r="B145" s="43"/>
      <c r="C145" s="43"/>
      <c r="D145" s="7"/>
      <c r="L145" s="7"/>
      <c r="N145" s="7"/>
      <c r="O145" s="7"/>
      <c r="P145" s="7"/>
      <c r="Y145" s="24"/>
      <c r="AH145" s="7"/>
      <c r="AJ145" s="7"/>
      <c r="AK145" s="7"/>
      <c r="AL145" s="7"/>
      <c r="AU145" s="31">
        <f t="shared" si="58"/>
        <v>0</v>
      </c>
      <c r="BT145" s="36">
        <f t="shared" si="59"/>
        <v>0</v>
      </c>
      <c r="BU145" s="33">
        <f t="shared" si="64"/>
        <v>0</v>
      </c>
      <c r="BV145" s="33">
        <f t="shared" si="63"/>
        <v>0</v>
      </c>
      <c r="BW145" s="37">
        <f t="shared" si="61"/>
        <v>0</v>
      </c>
      <c r="BX145" s="33">
        <f t="shared" si="57"/>
        <v>0</v>
      </c>
      <c r="BY145" s="33">
        <f t="shared" si="65"/>
        <v>0</v>
      </c>
      <c r="BZ145" s="33">
        <f t="shared" si="62"/>
        <v>0</v>
      </c>
      <c r="CB145" s="38"/>
      <c r="CC145" s="38"/>
      <c r="CD145" s="38"/>
      <c r="CE145" s="38"/>
      <c r="CF145" s="38"/>
      <c r="CG145" s="38"/>
    </row>
    <row r="146" spans="1:85" ht="15.5" x14ac:dyDescent="0.35">
      <c r="A146" s="43">
        <v>139</v>
      </c>
      <c r="B146" s="43"/>
      <c r="C146" s="43"/>
      <c r="D146" s="7"/>
      <c r="L146" s="7"/>
      <c r="N146" s="7"/>
      <c r="O146" s="7"/>
      <c r="P146" s="7"/>
      <c r="Y146" s="24"/>
      <c r="AH146" s="7"/>
      <c r="AJ146" s="7"/>
      <c r="AK146" s="7"/>
      <c r="AL146" s="7"/>
      <c r="AU146" s="31">
        <f t="shared" si="58"/>
        <v>0</v>
      </c>
      <c r="BT146" s="36">
        <f t="shared" si="59"/>
        <v>0</v>
      </c>
      <c r="BU146" s="33">
        <f t="shared" si="64"/>
        <v>0</v>
      </c>
      <c r="BV146" s="33">
        <f t="shared" si="63"/>
        <v>0</v>
      </c>
      <c r="BW146" s="37">
        <f t="shared" si="61"/>
        <v>0</v>
      </c>
      <c r="BX146" s="33">
        <f t="shared" si="57"/>
        <v>0</v>
      </c>
      <c r="BY146" s="33">
        <f t="shared" si="65"/>
        <v>0</v>
      </c>
      <c r="BZ146" s="33">
        <f t="shared" si="62"/>
        <v>0</v>
      </c>
      <c r="CB146" s="38"/>
      <c r="CC146" s="38"/>
      <c r="CD146" s="38"/>
      <c r="CE146" s="38"/>
      <c r="CF146" s="38"/>
      <c r="CG146" s="38"/>
    </row>
    <row r="147" spans="1:85" ht="15.5" x14ac:dyDescent="0.35">
      <c r="A147" s="43">
        <v>140</v>
      </c>
      <c r="B147" s="43"/>
      <c r="C147" s="43"/>
      <c r="D147" s="7"/>
      <c r="L147" s="7"/>
      <c r="N147" s="7"/>
      <c r="O147" s="7"/>
      <c r="P147" s="7"/>
      <c r="Y147" s="24"/>
      <c r="AH147" s="7"/>
      <c r="AJ147" s="7"/>
      <c r="AK147" s="7"/>
      <c r="AL147" s="7"/>
      <c r="AU147" s="31">
        <f t="shared" si="58"/>
        <v>0</v>
      </c>
      <c r="BT147" s="36">
        <f t="shared" si="59"/>
        <v>0</v>
      </c>
      <c r="BU147" s="33">
        <f t="shared" si="64"/>
        <v>0</v>
      </c>
      <c r="BV147" s="33">
        <f t="shared" si="63"/>
        <v>0</v>
      </c>
      <c r="BW147" s="37">
        <f t="shared" si="61"/>
        <v>0</v>
      </c>
      <c r="BX147" s="33">
        <f t="shared" si="57"/>
        <v>0</v>
      </c>
      <c r="BY147" s="33">
        <f t="shared" si="65"/>
        <v>0</v>
      </c>
      <c r="BZ147" s="33">
        <f t="shared" si="62"/>
        <v>0</v>
      </c>
      <c r="CB147" s="38"/>
      <c r="CC147" s="38"/>
      <c r="CD147" s="38"/>
      <c r="CE147" s="38"/>
      <c r="CF147" s="38"/>
      <c r="CG147" s="38"/>
    </row>
    <row r="148" spans="1:85" ht="15.5" x14ac:dyDescent="0.35">
      <c r="A148" s="43">
        <v>141</v>
      </c>
      <c r="B148" s="43"/>
      <c r="C148" s="43"/>
      <c r="D148" s="7"/>
      <c r="L148" s="7"/>
      <c r="N148" s="7"/>
      <c r="O148" s="7"/>
      <c r="P148" s="7"/>
      <c r="Y148" s="24"/>
      <c r="AH148" s="7"/>
      <c r="AJ148" s="7"/>
      <c r="AK148" s="7"/>
      <c r="AL148" s="7"/>
      <c r="AU148" s="31">
        <f t="shared" si="58"/>
        <v>0</v>
      </c>
      <c r="BT148" s="36">
        <f t="shared" si="59"/>
        <v>0</v>
      </c>
      <c r="BU148" s="33">
        <f t="shared" si="64"/>
        <v>0</v>
      </c>
      <c r="BV148" s="33">
        <f t="shared" si="63"/>
        <v>0</v>
      </c>
      <c r="BW148" s="37">
        <f t="shared" si="61"/>
        <v>0</v>
      </c>
      <c r="BX148" s="33">
        <f t="shared" si="57"/>
        <v>0</v>
      </c>
      <c r="BY148" s="33">
        <f t="shared" si="65"/>
        <v>0</v>
      </c>
      <c r="BZ148" s="33">
        <f t="shared" si="62"/>
        <v>0</v>
      </c>
      <c r="CB148" s="38"/>
      <c r="CC148" s="38"/>
      <c r="CD148" s="38"/>
      <c r="CE148" s="38"/>
      <c r="CF148" s="38"/>
      <c r="CG148" s="38"/>
    </row>
    <row r="149" spans="1:85" ht="15.5" x14ac:dyDescent="0.35">
      <c r="A149" s="43">
        <v>142</v>
      </c>
      <c r="B149" s="43"/>
      <c r="C149" s="43"/>
      <c r="D149" s="7"/>
      <c r="L149" s="7"/>
      <c r="N149" s="7"/>
      <c r="O149" s="7"/>
      <c r="P149" s="7"/>
      <c r="Y149" s="24"/>
      <c r="AH149" s="7"/>
      <c r="AJ149" s="7"/>
      <c r="AK149" s="7"/>
      <c r="AL149" s="7"/>
      <c r="AU149" s="31">
        <f t="shared" si="58"/>
        <v>0</v>
      </c>
      <c r="BT149" s="36">
        <f t="shared" si="59"/>
        <v>0</v>
      </c>
      <c r="BU149" s="33">
        <f t="shared" si="64"/>
        <v>0</v>
      </c>
      <c r="BV149" s="33">
        <f t="shared" si="63"/>
        <v>0</v>
      </c>
      <c r="BW149" s="37">
        <f t="shared" si="61"/>
        <v>0</v>
      </c>
      <c r="BX149" s="33">
        <f t="shared" si="57"/>
        <v>0</v>
      </c>
      <c r="BY149" s="33">
        <f t="shared" si="65"/>
        <v>0</v>
      </c>
      <c r="BZ149" s="33">
        <f t="shared" si="62"/>
        <v>0</v>
      </c>
      <c r="CB149" s="38"/>
      <c r="CC149" s="38"/>
      <c r="CD149" s="38"/>
      <c r="CE149" s="38"/>
      <c r="CF149" s="38"/>
      <c r="CG149" s="38"/>
    </row>
    <row r="150" spans="1:85" ht="15.5" x14ac:dyDescent="0.35">
      <c r="A150" s="43">
        <v>143</v>
      </c>
      <c r="B150" s="43"/>
      <c r="C150" s="43"/>
      <c r="D150" s="7"/>
      <c r="L150" s="7"/>
      <c r="N150" s="7"/>
      <c r="O150" s="7"/>
      <c r="P150" s="7"/>
      <c r="Y150" s="24"/>
      <c r="AH150" s="7"/>
      <c r="AJ150" s="7"/>
      <c r="AK150" s="7"/>
      <c r="AL150" s="7"/>
      <c r="AU150" s="31">
        <f t="shared" si="58"/>
        <v>0</v>
      </c>
      <c r="BT150" s="36">
        <f t="shared" si="59"/>
        <v>0</v>
      </c>
      <c r="BU150" s="33">
        <f t="shared" si="64"/>
        <v>0</v>
      </c>
      <c r="BV150" s="33">
        <f t="shared" si="63"/>
        <v>0</v>
      </c>
      <c r="BW150" s="37">
        <f t="shared" si="61"/>
        <v>0</v>
      </c>
      <c r="BX150" s="33">
        <f t="shared" ref="BX150:BX181" si="66">SUMPRODUCT(($E$5:$BJ$5="CO5")*(ISNUMBER(L150:BQ150))*(L150:BQ150&gt;0), L150:BQ150)</f>
        <v>0</v>
      </c>
      <c r="BY150" s="33">
        <f t="shared" si="65"/>
        <v>0</v>
      </c>
      <c r="BZ150" s="33">
        <f t="shared" si="62"/>
        <v>0</v>
      </c>
      <c r="CB150" s="38"/>
      <c r="CC150" s="38"/>
      <c r="CD150" s="38"/>
      <c r="CE150" s="38"/>
      <c r="CF150" s="38"/>
      <c r="CG150" s="38"/>
    </row>
    <row r="151" spans="1:85" ht="15.5" x14ac:dyDescent="0.35">
      <c r="A151" s="43">
        <v>144</v>
      </c>
      <c r="B151" s="43"/>
      <c r="C151" s="43"/>
      <c r="D151" s="7"/>
      <c r="L151" s="7"/>
      <c r="N151" s="7"/>
      <c r="O151" s="7"/>
      <c r="P151" s="7"/>
      <c r="Y151" s="24"/>
      <c r="AH151" s="7"/>
      <c r="AJ151" s="7"/>
      <c r="AK151" s="7"/>
      <c r="AL151" s="7"/>
      <c r="AU151" s="31">
        <f t="shared" si="58"/>
        <v>0</v>
      </c>
      <c r="BT151" s="36">
        <f t="shared" si="59"/>
        <v>0</v>
      </c>
      <c r="BU151" s="33">
        <f t="shared" si="64"/>
        <v>0</v>
      </c>
      <c r="BV151" s="33">
        <f t="shared" si="63"/>
        <v>0</v>
      </c>
      <c r="BW151" s="37">
        <f t="shared" si="61"/>
        <v>0</v>
      </c>
      <c r="BX151" s="33">
        <f t="shared" si="66"/>
        <v>0</v>
      </c>
      <c r="BY151" s="33">
        <f t="shared" si="65"/>
        <v>0</v>
      </c>
      <c r="BZ151" s="33">
        <f t="shared" si="62"/>
        <v>0</v>
      </c>
      <c r="CB151" s="38"/>
      <c r="CC151" s="38"/>
      <c r="CD151" s="38"/>
      <c r="CE151" s="38"/>
      <c r="CF151" s="38"/>
      <c r="CG151" s="38"/>
    </row>
    <row r="152" spans="1:85" ht="15.5" x14ac:dyDescent="0.35">
      <c r="A152" s="43">
        <v>145</v>
      </c>
      <c r="B152" s="43"/>
      <c r="C152" s="43"/>
      <c r="D152" s="7"/>
      <c r="L152" s="7"/>
      <c r="N152" s="7"/>
      <c r="O152" s="7"/>
      <c r="P152" s="7"/>
      <c r="Y152" s="24"/>
      <c r="AH152" s="7"/>
      <c r="AJ152" s="7"/>
      <c r="AK152" s="7"/>
      <c r="AL152" s="7"/>
      <c r="AU152" s="31">
        <f t="shared" si="58"/>
        <v>0</v>
      </c>
      <c r="BT152" s="36">
        <f t="shared" si="59"/>
        <v>0</v>
      </c>
      <c r="BU152" s="33">
        <f t="shared" si="64"/>
        <v>0</v>
      </c>
      <c r="BV152" s="33">
        <f t="shared" si="63"/>
        <v>0</v>
      </c>
      <c r="BW152" s="37">
        <f t="shared" si="61"/>
        <v>0</v>
      </c>
      <c r="BX152" s="33">
        <f t="shared" si="66"/>
        <v>0</v>
      </c>
      <c r="BY152" s="33">
        <f t="shared" si="65"/>
        <v>0</v>
      </c>
      <c r="BZ152" s="33">
        <f t="shared" si="62"/>
        <v>0</v>
      </c>
      <c r="CB152" s="38"/>
      <c r="CC152" s="38"/>
      <c r="CD152" s="38"/>
      <c r="CE152" s="38"/>
      <c r="CF152" s="38"/>
      <c r="CG152" s="38"/>
    </row>
    <row r="153" spans="1:85" ht="15.5" x14ac:dyDescent="0.35">
      <c r="A153" s="43">
        <v>146</v>
      </c>
      <c r="B153" s="43"/>
      <c r="C153" s="43"/>
      <c r="D153" s="7"/>
      <c r="L153" s="7"/>
      <c r="N153" s="7"/>
      <c r="O153" s="7"/>
      <c r="P153" s="7"/>
      <c r="Y153" s="24"/>
      <c r="AH153" s="7"/>
      <c r="AJ153" s="7"/>
      <c r="AK153" s="7"/>
      <c r="AL153" s="7"/>
      <c r="AU153" s="31">
        <f t="shared" si="58"/>
        <v>0</v>
      </c>
      <c r="BT153" s="36">
        <f t="shared" si="59"/>
        <v>0</v>
      </c>
      <c r="BU153" s="33">
        <f t="shared" si="64"/>
        <v>0</v>
      </c>
      <c r="BV153" s="33">
        <f t="shared" si="63"/>
        <v>0</v>
      </c>
      <c r="BW153" s="37">
        <f t="shared" si="61"/>
        <v>0</v>
      </c>
      <c r="BX153" s="33">
        <f t="shared" si="66"/>
        <v>0</v>
      </c>
      <c r="BY153" s="33">
        <f t="shared" si="65"/>
        <v>0</v>
      </c>
      <c r="BZ153" s="33">
        <f t="shared" si="62"/>
        <v>0</v>
      </c>
      <c r="CB153" s="38"/>
      <c r="CC153" s="38"/>
      <c r="CD153" s="38"/>
      <c r="CE153" s="38"/>
      <c r="CF153" s="38"/>
      <c r="CG153" s="38"/>
    </row>
    <row r="154" spans="1:85" ht="15.5" x14ac:dyDescent="0.35">
      <c r="A154" s="43">
        <v>147</v>
      </c>
      <c r="B154" s="43"/>
      <c r="C154" s="43"/>
      <c r="D154" s="7"/>
      <c r="L154" s="7"/>
      <c r="N154" s="7"/>
      <c r="O154" s="7"/>
      <c r="P154" s="7"/>
      <c r="Y154" s="24"/>
      <c r="AH154" s="7"/>
      <c r="AJ154" s="7"/>
      <c r="AK154" s="7"/>
      <c r="AL154" s="7"/>
      <c r="AU154" s="31">
        <f t="shared" si="58"/>
        <v>0</v>
      </c>
      <c r="BT154" s="36">
        <f t="shared" si="59"/>
        <v>0</v>
      </c>
      <c r="BU154" s="33">
        <f t="shared" si="64"/>
        <v>0</v>
      </c>
      <c r="BV154" s="33">
        <f t="shared" si="63"/>
        <v>0</v>
      </c>
      <c r="BW154" s="37">
        <f t="shared" si="61"/>
        <v>0</v>
      </c>
      <c r="BX154" s="33">
        <f t="shared" si="66"/>
        <v>0</v>
      </c>
      <c r="BY154" s="33">
        <f t="shared" si="65"/>
        <v>0</v>
      </c>
      <c r="BZ154" s="33">
        <f t="shared" si="62"/>
        <v>0</v>
      </c>
      <c r="CB154" s="38"/>
      <c r="CC154" s="38"/>
      <c r="CD154" s="38"/>
      <c r="CE154" s="38"/>
      <c r="CF154" s="38"/>
      <c r="CG154" s="38"/>
    </row>
    <row r="155" spans="1:85" ht="15.5" x14ac:dyDescent="0.35">
      <c r="A155" s="43">
        <v>148</v>
      </c>
      <c r="B155" s="43"/>
      <c r="C155" s="43"/>
      <c r="D155" s="7"/>
      <c r="L155" s="7"/>
      <c r="N155" s="7"/>
      <c r="O155" s="7"/>
      <c r="P155" s="7"/>
      <c r="Y155" s="24"/>
      <c r="AH155" s="7"/>
      <c r="AJ155" s="7"/>
      <c r="AK155" s="7"/>
      <c r="AL155" s="7"/>
      <c r="AU155" s="31">
        <f t="shared" si="58"/>
        <v>0</v>
      </c>
      <c r="BT155" s="36">
        <f t="shared" si="59"/>
        <v>0</v>
      </c>
      <c r="BU155" s="33">
        <f t="shared" si="64"/>
        <v>0</v>
      </c>
      <c r="BV155" s="33">
        <f t="shared" si="63"/>
        <v>0</v>
      </c>
      <c r="BW155" s="37">
        <f t="shared" si="61"/>
        <v>0</v>
      </c>
      <c r="BX155" s="33">
        <f t="shared" si="66"/>
        <v>0</v>
      </c>
      <c r="BY155" s="33">
        <f t="shared" si="65"/>
        <v>0</v>
      </c>
      <c r="BZ155" s="33">
        <f t="shared" si="62"/>
        <v>0</v>
      </c>
      <c r="CB155" s="38"/>
      <c r="CC155" s="38"/>
      <c r="CD155" s="38"/>
      <c r="CE155" s="38"/>
      <c r="CF155" s="38"/>
      <c r="CG155" s="38"/>
    </row>
    <row r="156" spans="1:85" ht="15.5" x14ac:dyDescent="0.35">
      <c r="A156" s="43">
        <v>149</v>
      </c>
      <c r="B156" s="43"/>
      <c r="C156" s="43"/>
      <c r="D156" s="7"/>
      <c r="L156" s="7"/>
      <c r="N156" s="7"/>
      <c r="O156" s="7"/>
      <c r="P156" s="7"/>
      <c r="Y156" s="24"/>
      <c r="AH156" s="7"/>
      <c r="AJ156" s="7"/>
      <c r="AK156" s="7"/>
      <c r="AL156" s="7"/>
      <c r="AU156" s="31">
        <f t="shared" si="58"/>
        <v>0</v>
      </c>
      <c r="BT156" s="36">
        <f t="shared" si="59"/>
        <v>0</v>
      </c>
      <c r="BU156" s="33">
        <f t="shared" si="64"/>
        <v>0</v>
      </c>
      <c r="BV156" s="33">
        <f t="shared" si="63"/>
        <v>0</v>
      </c>
      <c r="BW156" s="37">
        <f t="shared" si="61"/>
        <v>0</v>
      </c>
      <c r="BX156" s="33">
        <f t="shared" si="66"/>
        <v>0</v>
      </c>
      <c r="BY156" s="33">
        <f t="shared" si="65"/>
        <v>0</v>
      </c>
      <c r="BZ156" s="33">
        <f t="shared" si="62"/>
        <v>0</v>
      </c>
      <c r="CB156" s="38"/>
      <c r="CC156" s="38"/>
      <c r="CD156" s="38"/>
      <c r="CE156" s="38"/>
      <c r="CF156" s="38"/>
      <c r="CG156" s="38"/>
    </row>
    <row r="157" spans="1:85" ht="15.5" x14ac:dyDescent="0.35">
      <c r="A157" s="43">
        <v>150</v>
      </c>
      <c r="B157" s="43"/>
      <c r="C157" s="43"/>
      <c r="D157" s="7"/>
      <c r="L157" s="7"/>
      <c r="N157" s="7"/>
      <c r="O157" s="7"/>
      <c r="P157" s="7"/>
      <c r="Y157" s="24"/>
      <c r="AH157" s="7"/>
      <c r="AJ157" s="7"/>
      <c r="AK157" s="7"/>
      <c r="AL157" s="7"/>
      <c r="AU157" s="31">
        <f t="shared" si="58"/>
        <v>0</v>
      </c>
      <c r="BT157" s="36">
        <f t="shared" si="59"/>
        <v>0</v>
      </c>
      <c r="BU157" s="33">
        <f t="shared" si="64"/>
        <v>0</v>
      </c>
      <c r="BV157" s="33">
        <f t="shared" si="63"/>
        <v>0</v>
      </c>
      <c r="BW157" s="37">
        <f t="shared" si="61"/>
        <v>0</v>
      </c>
      <c r="BX157" s="33">
        <f t="shared" si="66"/>
        <v>0</v>
      </c>
      <c r="BY157" s="33">
        <f t="shared" si="65"/>
        <v>0</v>
      </c>
      <c r="BZ157" s="33">
        <f t="shared" si="62"/>
        <v>0</v>
      </c>
      <c r="CB157" s="38"/>
      <c r="CC157" s="38"/>
      <c r="CD157" s="38"/>
      <c r="CE157" s="38"/>
      <c r="CF157" s="38"/>
      <c r="CG157" s="38"/>
    </row>
    <row r="158" spans="1:85" ht="15.5" x14ac:dyDescent="0.35">
      <c r="A158" s="43">
        <v>151</v>
      </c>
      <c r="B158" s="43"/>
      <c r="C158" s="43"/>
      <c r="D158" s="7"/>
      <c r="L158" s="7"/>
      <c r="N158" s="7"/>
      <c r="O158" s="7"/>
      <c r="P158" s="7"/>
      <c r="Y158" s="24"/>
      <c r="AH158" s="7"/>
      <c r="AJ158" s="7"/>
      <c r="AK158" s="7"/>
      <c r="AL158" s="7"/>
      <c r="AU158" s="31">
        <f t="shared" si="58"/>
        <v>0</v>
      </c>
      <c r="BT158" s="36">
        <f t="shared" si="59"/>
        <v>0</v>
      </c>
      <c r="BU158" s="33">
        <f t="shared" si="64"/>
        <v>0</v>
      </c>
      <c r="BV158" s="33">
        <f t="shared" si="63"/>
        <v>0</v>
      </c>
      <c r="BW158" s="37">
        <f t="shared" si="61"/>
        <v>0</v>
      </c>
      <c r="BX158" s="33">
        <f t="shared" si="66"/>
        <v>0</v>
      </c>
      <c r="BY158" s="33">
        <f t="shared" si="65"/>
        <v>0</v>
      </c>
      <c r="BZ158" s="33">
        <f t="shared" si="62"/>
        <v>0</v>
      </c>
      <c r="CB158" s="38"/>
      <c r="CC158" s="38"/>
      <c r="CD158" s="38"/>
      <c r="CE158" s="38"/>
      <c r="CF158" s="38"/>
      <c r="CG158" s="38"/>
    </row>
    <row r="159" spans="1:85" ht="15.5" x14ac:dyDescent="0.35">
      <c r="A159" s="43">
        <v>152</v>
      </c>
      <c r="B159" s="43"/>
      <c r="C159" s="43"/>
      <c r="D159" s="7"/>
      <c r="L159" s="7"/>
      <c r="N159" s="7"/>
      <c r="O159" s="7"/>
      <c r="P159" s="7"/>
      <c r="Y159" s="24"/>
      <c r="AH159" s="7"/>
      <c r="AJ159" s="7"/>
      <c r="AK159" s="7"/>
      <c r="AL159" s="7"/>
      <c r="AU159" s="31">
        <f t="shared" si="58"/>
        <v>0</v>
      </c>
      <c r="BT159" s="36">
        <f t="shared" si="59"/>
        <v>0</v>
      </c>
      <c r="BU159" s="33">
        <f t="shared" si="64"/>
        <v>0</v>
      </c>
      <c r="BV159" s="33">
        <f t="shared" si="63"/>
        <v>0</v>
      </c>
      <c r="BW159" s="37">
        <f t="shared" si="61"/>
        <v>0</v>
      </c>
      <c r="BX159" s="33">
        <f t="shared" si="66"/>
        <v>0</v>
      </c>
      <c r="BY159" s="33">
        <f t="shared" si="65"/>
        <v>0</v>
      </c>
      <c r="BZ159" s="33">
        <f t="shared" si="62"/>
        <v>0</v>
      </c>
      <c r="CB159" s="38"/>
      <c r="CC159" s="38"/>
      <c r="CD159" s="38"/>
      <c r="CE159" s="38"/>
      <c r="CF159" s="38"/>
      <c r="CG159" s="38"/>
    </row>
    <row r="160" spans="1:85" ht="15.5" x14ac:dyDescent="0.35">
      <c r="A160" s="43">
        <v>153</v>
      </c>
      <c r="B160" s="43"/>
      <c r="C160" s="43"/>
      <c r="D160" s="7"/>
      <c r="L160" s="7"/>
      <c r="N160" s="7"/>
      <c r="O160" s="7"/>
      <c r="P160" s="7"/>
      <c r="Y160" s="24"/>
      <c r="AH160" s="7"/>
      <c r="AJ160" s="7"/>
      <c r="AK160" s="7"/>
      <c r="AL160" s="7"/>
      <c r="AU160" s="31">
        <f t="shared" si="58"/>
        <v>0</v>
      </c>
      <c r="BT160" s="36">
        <f t="shared" si="59"/>
        <v>0</v>
      </c>
      <c r="BU160" s="33">
        <f t="shared" si="64"/>
        <v>0</v>
      </c>
      <c r="BV160" s="33">
        <f t="shared" si="63"/>
        <v>0</v>
      </c>
      <c r="BW160" s="37">
        <f t="shared" si="61"/>
        <v>0</v>
      </c>
      <c r="BX160" s="33">
        <f t="shared" si="66"/>
        <v>0</v>
      </c>
      <c r="BY160" s="33">
        <f t="shared" si="65"/>
        <v>0</v>
      </c>
      <c r="BZ160" s="33">
        <f t="shared" si="62"/>
        <v>0</v>
      </c>
      <c r="CB160" s="38"/>
      <c r="CC160" s="38"/>
      <c r="CD160" s="38"/>
      <c r="CE160" s="38"/>
      <c r="CF160" s="38"/>
      <c r="CG160" s="38"/>
    </row>
    <row r="161" spans="1:85" ht="15.5" x14ac:dyDescent="0.35">
      <c r="A161" s="43">
        <v>154</v>
      </c>
      <c r="B161" s="43"/>
      <c r="C161" s="43"/>
      <c r="D161" s="7"/>
      <c r="L161" s="7"/>
      <c r="N161" s="7"/>
      <c r="O161" s="7"/>
      <c r="P161" s="7"/>
      <c r="Y161" s="24"/>
      <c r="AH161" s="7"/>
      <c r="AJ161" s="7"/>
      <c r="AK161" s="7"/>
      <c r="AL161" s="7"/>
      <c r="AU161" s="31">
        <f t="shared" si="58"/>
        <v>0</v>
      </c>
      <c r="BT161" s="36">
        <f t="shared" si="59"/>
        <v>0</v>
      </c>
      <c r="BU161" s="33">
        <f t="shared" si="64"/>
        <v>0</v>
      </c>
      <c r="BV161" s="33">
        <f t="shared" si="63"/>
        <v>0</v>
      </c>
      <c r="BW161" s="37">
        <f t="shared" si="61"/>
        <v>0</v>
      </c>
      <c r="BX161" s="33">
        <f t="shared" si="66"/>
        <v>0</v>
      </c>
      <c r="BY161" s="33">
        <f t="shared" si="65"/>
        <v>0</v>
      </c>
      <c r="BZ161" s="33">
        <f t="shared" si="62"/>
        <v>0</v>
      </c>
      <c r="CB161" s="38"/>
      <c r="CC161" s="38"/>
      <c r="CD161" s="38"/>
      <c r="CE161" s="38"/>
      <c r="CF161" s="38"/>
      <c r="CG161" s="38"/>
    </row>
    <row r="162" spans="1:85" ht="15.5" x14ac:dyDescent="0.35">
      <c r="A162" s="43">
        <v>155</v>
      </c>
      <c r="B162" s="43"/>
      <c r="C162" s="43"/>
      <c r="D162" s="7"/>
      <c r="L162" s="7"/>
      <c r="N162" s="7"/>
      <c r="O162" s="7"/>
      <c r="P162" s="7"/>
      <c r="Y162" s="24"/>
      <c r="AH162" s="7"/>
      <c r="AJ162" s="7"/>
      <c r="AK162" s="7"/>
      <c r="AL162" s="7"/>
      <c r="AU162" s="31">
        <f t="shared" si="58"/>
        <v>0</v>
      </c>
      <c r="BT162" s="36">
        <f t="shared" si="59"/>
        <v>0</v>
      </c>
      <c r="BU162" s="33">
        <f t="shared" si="64"/>
        <v>0</v>
      </c>
      <c r="BV162" s="33">
        <f t="shared" si="63"/>
        <v>0</v>
      </c>
      <c r="BW162" s="37">
        <f t="shared" si="61"/>
        <v>0</v>
      </c>
      <c r="BX162" s="33">
        <f t="shared" si="66"/>
        <v>0</v>
      </c>
      <c r="BY162" s="33">
        <f t="shared" si="65"/>
        <v>0</v>
      </c>
      <c r="BZ162" s="33">
        <f t="shared" si="62"/>
        <v>0</v>
      </c>
      <c r="CB162" s="38"/>
      <c r="CC162" s="38"/>
      <c r="CD162" s="38"/>
      <c r="CE162" s="38"/>
      <c r="CF162" s="38"/>
      <c r="CG162" s="38"/>
    </row>
    <row r="163" spans="1:85" ht="15.5" x14ac:dyDescent="0.35">
      <c r="A163" s="43">
        <v>156</v>
      </c>
      <c r="B163" s="43"/>
      <c r="C163" s="43"/>
      <c r="D163" s="7"/>
      <c r="L163" s="7"/>
      <c r="N163" s="7"/>
      <c r="O163" s="7"/>
      <c r="P163" s="7"/>
      <c r="Y163" s="24"/>
      <c r="AH163" s="7"/>
      <c r="AJ163" s="7"/>
      <c r="AK163" s="7"/>
      <c r="AL163" s="7"/>
      <c r="AU163" s="31">
        <f t="shared" si="58"/>
        <v>0</v>
      </c>
      <c r="BT163" s="36">
        <f t="shared" si="59"/>
        <v>0</v>
      </c>
      <c r="BU163" s="33">
        <f t="shared" si="64"/>
        <v>0</v>
      </c>
      <c r="BV163" s="33">
        <f t="shared" si="63"/>
        <v>0</v>
      </c>
      <c r="BW163" s="37">
        <f t="shared" si="61"/>
        <v>0</v>
      </c>
      <c r="BX163" s="33">
        <f t="shared" si="66"/>
        <v>0</v>
      </c>
      <c r="BY163" s="33">
        <f t="shared" si="65"/>
        <v>0</v>
      </c>
      <c r="BZ163" s="33">
        <f t="shared" si="62"/>
        <v>0</v>
      </c>
      <c r="CB163" s="38"/>
      <c r="CC163" s="38"/>
      <c r="CD163" s="38"/>
      <c r="CE163" s="38"/>
      <c r="CF163" s="38"/>
      <c r="CG163" s="38"/>
    </row>
    <row r="164" spans="1:85" ht="15.5" x14ac:dyDescent="0.35">
      <c r="A164" s="43">
        <v>157</v>
      </c>
      <c r="B164" s="43"/>
      <c r="C164" s="43"/>
      <c r="D164" s="7"/>
      <c r="L164" s="7"/>
      <c r="N164" s="7"/>
      <c r="O164" s="7"/>
      <c r="P164" s="7"/>
      <c r="Y164" s="24"/>
      <c r="AH164" s="7"/>
      <c r="AJ164" s="7"/>
      <c r="AK164" s="7"/>
      <c r="AL164" s="7"/>
      <c r="AU164" s="31">
        <f t="shared" si="58"/>
        <v>0</v>
      </c>
      <c r="BT164" s="36">
        <f t="shared" si="59"/>
        <v>0</v>
      </c>
      <c r="BU164" s="33">
        <f t="shared" si="64"/>
        <v>0</v>
      </c>
      <c r="BV164" s="33">
        <f t="shared" si="63"/>
        <v>0</v>
      </c>
      <c r="BW164" s="36">
        <f t="shared" si="61"/>
        <v>0</v>
      </c>
      <c r="BX164" s="33">
        <f t="shared" si="66"/>
        <v>0</v>
      </c>
      <c r="BY164" s="33">
        <f t="shared" si="65"/>
        <v>0</v>
      </c>
      <c r="BZ164" s="33">
        <f t="shared" si="62"/>
        <v>0</v>
      </c>
      <c r="CB164" s="38"/>
      <c r="CC164" s="38"/>
      <c r="CD164" s="38"/>
      <c r="CE164" s="38"/>
      <c r="CF164" s="38"/>
      <c r="CG164" s="38"/>
    </row>
    <row r="165" spans="1:85" ht="15.5" x14ac:dyDescent="0.35">
      <c r="A165" s="43">
        <v>158</v>
      </c>
      <c r="B165" s="43"/>
      <c r="C165" s="43"/>
      <c r="D165" s="7"/>
      <c r="L165" s="7"/>
      <c r="N165" s="7"/>
      <c r="O165" s="7"/>
      <c r="P165" s="7"/>
      <c r="Y165" s="24"/>
      <c r="AH165" s="7"/>
      <c r="AJ165" s="7"/>
      <c r="AK165" s="7"/>
      <c r="AL165" s="7"/>
      <c r="AU165" s="31">
        <f t="shared" si="58"/>
        <v>0</v>
      </c>
      <c r="BT165" s="36">
        <f t="shared" si="59"/>
        <v>0</v>
      </c>
      <c r="BU165" s="33">
        <f t="shared" si="64"/>
        <v>0</v>
      </c>
      <c r="BV165" s="33">
        <f t="shared" si="63"/>
        <v>0</v>
      </c>
      <c r="BW165" s="36">
        <f t="shared" si="61"/>
        <v>0</v>
      </c>
      <c r="BX165" s="33">
        <f t="shared" si="66"/>
        <v>0</v>
      </c>
      <c r="BY165" s="33">
        <f t="shared" si="65"/>
        <v>0</v>
      </c>
      <c r="BZ165" s="33">
        <f t="shared" si="62"/>
        <v>0</v>
      </c>
      <c r="CB165" s="38"/>
      <c r="CC165" s="38"/>
      <c r="CD165" s="38"/>
      <c r="CE165" s="38"/>
      <c r="CF165" s="38"/>
      <c r="CG165" s="38"/>
    </row>
    <row r="166" spans="1:85" ht="15.5" x14ac:dyDescent="0.35">
      <c r="A166" s="43">
        <v>159</v>
      </c>
      <c r="B166" s="43"/>
      <c r="C166" s="43"/>
      <c r="D166" s="7"/>
      <c r="L166" s="7"/>
      <c r="N166" s="7"/>
      <c r="O166" s="7"/>
      <c r="P166" s="7"/>
      <c r="Y166" s="24"/>
      <c r="AH166" s="7"/>
      <c r="AJ166" s="7"/>
      <c r="AK166" s="7"/>
      <c r="AL166" s="7"/>
      <c r="AU166" s="31">
        <f t="shared" si="58"/>
        <v>0</v>
      </c>
      <c r="BT166" s="36">
        <f t="shared" si="59"/>
        <v>0</v>
      </c>
      <c r="BU166" s="33">
        <f t="shared" si="64"/>
        <v>0</v>
      </c>
      <c r="BV166" s="33">
        <f t="shared" si="63"/>
        <v>0</v>
      </c>
      <c r="BW166" s="36">
        <f t="shared" si="61"/>
        <v>0</v>
      </c>
      <c r="BX166" s="33">
        <f t="shared" si="66"/>
        <v>0</v>
      </c>
      <c r="BY166" s="33">
        <f t="shared" si="65"/>
        <v>0</v>
      </c>
      <c r="BZ166" s="33">
        <f t="shared" si="62"/>
        <v>0</v>
      </c>
      <c r="CB166" s="38">
        <f t="shared" ref="CB166:CB200" si="67">BT166/$BM$7*100</f>
        <v>0</v>
      </c>
      <c r="CC166" s="38">
        <f t="shared" ref="CC166:CC200" si="68">BU166/$BN$7*100</f>
        <v>0</v>
      </c>
      <c r="CD166" s="38">
        <f t="shared" ref="CD166:CD200" si="69">BV166/$BO$7*100</f>
        <v>0</v>
      </c>
      <c r="CE166" s="38" t="e">
        <f t="shared" ref="CE166:CE200" si="70">BW166/$BP$7*100</f>
        <v>#DIV/0!</v>
      </c>
      <c r="CF166" s="38" t="e">
        <f t="shared" ref="CF166:CF200" si="71">BX166/$BQ$7*100</f>
        <v>#DIV/0!</v>
      </c>
      <c r="CG166" s="38">
        <f t="shared" ref="CG166:CG200" si="72">BY166/$BR$7*100</f>
        <v>0</v>
      </c>
    </row>
    <row r="167" spans="1:85" ht="15.5" x14ac:dyDescent="0.35">
      <c r="A167" s="43">
        <v>160</v>
      </c>
      <c r="B167" s="43"/>
      <c r="C167" s="43"/>
      <c r="D167" s="7"/>
      <c r="L167" s="7"/>
      <c r="N167" s="7"/>
      <c r="O167" s="7"/>
      <c r="P167" s="7"/>
      <c r="Y167" s="24"/>
      <c r="AH167" s="7"/>
      <c r="AJ167" s="7"/>
      <c r="AK167" s="7"/>
      <c r="AL167" s="7"/>
      <c r="AU167" s="31">
        <f t="shared" si="58"/>
        <v>0</v>
      </c>
      <c r="BT167" s="36">
        <f t="shared" si="59"/>
        <v>0</v>
      </c>
      <c r="BU167" s="33">
        <f t="shared" si="64"/>
        <v>0</v>
      </c>
      <c r="BV167" s="33">
        <f t="shared" si="63"/>
        <v>0</v>
      </c>
      <c r="BW167" s="36">
        <f t="shared" si="61"/>
        <v>0</v>
      </c>
      <c r="BX167" s="33">
        <f t="shared" si="66"/>
        <v>0</v>
      </c>
      <c r="BY167" s="33">
        <f t="shared" si="65"/>
        <v>0</v>
      </c>
      <c r="BZ167" s="33">
        <f t="shared" si="62"/>
        <v>0</v>
      </c>
      <c r="CB167" s="38">
        <f t="shared" si="67"/>
        <v>0</v>
      </c>
      <c r="CC167" s="38">
        <f t="shared" si="68"/>
        <v>0</v>
      </c>
      <c r="CD167" s="38">
        <f t="shared" si="69"/>
        <v>0</v>
      </c>
      <c r="CE167" s="38" t="e">
        <f t="shared" si="70"/>
        <v>#DIV/0!</v>
      </c>
      <c r="CF167" s="38" t="e">
        <f t="shared" si="71"/>
        <v>#DIV/0!</v>
      </c>
      <c r="CG167" s="38">
        <f t="shared" si="72"/>
        <v>0</v>
      </c>
    </row>
    <row r="168" spans="1:85" ht="15.5" x14ac:dyDescent="0.35">
      <c r="A168" s="43">
        <v>161</v>
      </c>
      <c r="B168" s="43"/>
      <c r="C168" s="43"/>
      <c r="D168" s="7"/>
      <c r="L168" s="7"/>
      <c r="N168" s="7"/>
      <c r="O168" s="7"/>
      <c r="P168" s="7"/>
      <c r="Y168" s="24"/>
      <c r="AH168" s="7"/>
      <c r="AJ168" s="7"/>
      <c r="AK168" s="7"/>
      <c r="AL168" s="7"/>
      <c r="AU168" s="31">
        <f t="shared" si="58"/>
        <v>0</v>
      </c>
      <c r="BT168" s="36">
        <f t="shared" si="59"/>
        <v>0</v>
      </c>
      <c r="BU168" s="33">
        <f t="shared" si="64"/>
        <v>0</v>
      </c>
      <c r="BV168" s="33">
        <f t="shared" si="63"/>
        <v>0</v>
      </c>
      <c r="BW168" s="36">
        <f t="shared" si="61"/>
        <v>0</v>
      </c>
      <c r="BX168" s="33">
        <f t="shared" si="66"/>
        <v>0</v>
      </c>
      <c r="BY168" s="33">
        <f t="shared" si="65"/>
        <v>0</v>
      </c>
      <c r="BZ168" s="33">
        <f t="shared" si="62"/>
        <v>0</v>
      </c>
      <c r="CB168" s="38">
        <f t="shared" si="67"/>
        <v>0</v>
      </c>
      <c r="CC168" s="38">
        <f t="shared" si="68"/>
        <v>0</v>
      </c>
      <c r="CD168" s="38">
        <f t="shared" si="69"/>
        <v>0</v>
      </c>
      <c r="CE168" s="38" t="e">
        <f t="shared" si="70"/>
        <v>#DIV/0!</v>
      </c>
      <c r="CF168" s="38" t="e">
        <f t="shared" si="71"/>
        <v>#DIV/0!</v>
      </c>
      <c r="CG168" s="38">
        <f t="shared" si="72"/>
        <v>0</v>
      </c>
    </row>
    <row r="169" spans="1:85" ht="15.5" x14ac:dyDescent="0.35">
      <c r="A169" s="43">
        <v>162</v>
      </c>
      <c r="B169" s="43"/>
      <c r="C169" s="43"/>
      <c r="D169" s="7"/>
      <c r="L169" s="7"/>
      <c r="N169" s="7"/>
      <c r="O169" s="7"/>
      <c r="P169" s="7"/>
      <c r="Y169" s="24"/>
      <c r="AH169" s="7"/>
      <c r="AJ169" s="7"/>
      <c r="AK169" s="7"/>
      <c r="AL169" s="7"/>
      <c r="AU169" s="31">
        <f t="shared" si="58"/>
        <v>0</v>
      </c>
      <c r="BT169" s="36">
        <f t="shared" si="59"/>
        <v>0</v>
      </c>
      <c r="BU169" s="33">
        <f t="shared" si="64"/>
        <v>0</v>
      </c>
      <c r="BV169" s="33">
        <f t="shared" si="63"/>
        <v>0</v>
      </c>
      <c r="BW169" s="36">
        <f t="shared" si="61"/>
        <v>0</v>
      </c>
      <c r="BX169" s="33">
        <f t="shared" si="66"/>
        <v>0</v>
      </c>
      <c r="BY169" s="33">
        <f t="shared" si="65"/>
        <v>0</v>
      </c>
      <c r="BZ169" s="33">
        <f t="shared" si="62"/>
        <v>0</v>
      </c>
      <c r="CB169" s="38">
        <f t="shared" si="67"/>
        <v>0</v>
      </c>
      <c r="CC169" s="38">
        <f t="shared" si="68"/>
        <v>0</v>
      </c>
      <c r="CD169" s="38">
        <f t="shared" si="69"/>
        <v>0</v>
      </c>
      <c r="CE169" s="38" t="e">
        <f t="shared" si="70"/>
        <v>#DIV/0!</v>
      </c>
      <c r="CF169" s="38" t="e">
        <f t="shared" si="71"/>
        <v>#DIV/0!</v>
      </c>
      <c r="CG169" s="38">
        <f t="shared" si="72"/>
        <v>0</v>
      </c>
    </row>
    <row r="170" spans="1:85" ht="15.5" x14ac:dyDescent="0.35">
      <c r="A170" s="43">
        <v>163</v>
      </c>
      <c r="B170" s="43"/>
      <c r="C170" s="43"/>
      <c r="D170" s="7"/>
      <c r="L170" s="7"/>
      <c r="N170" s="7"/>
      <c r="O170" s="7"/>
      <c r="P170" s="7"/>
      <c r="Y170" s="24"/>
      <c r="AH170" s="7"/>
      <c r="AJ170" s="7"/>
      <c r="AK170" s="7"/>
      <c r="AL170" s="7"/>
      <c r="AU170" s="31">
        <f t="shared" si="58"/>
        <v>0</v>
      </c>
      <c r="BT170" s="36">
        <f t="shared" si="59"/>
        <v>0</v>
      </c>
      <c r="BU170" s="33">
        <f t="shared" si="64"/>
        <v>0</v>
      </c>
      <c r="BV170" s="33">
        <f t="shared" si="63"/>
        <v>0</v>
      </c>
      <c r="BW170" s="36">
        <f t="shared" si="61"/>
        <v>0</v>
      </c>
      <c r="BX170" s="33">
        <f t="shared" si="66"/>
        <v>0</v>
      </c>
      <c r="BY170" s="33">
        <f t="shared" si="65"/>
        <v>0</v>
      </c>
      <c r="BZ170" s="33">
        <f t="shared" si="62"/>
        <v>0</v>
      </c>
      <c r="CB170" s="38">
        <f t="shared" si="67"/>
        <v>0</v>
      </c>
      <c r="CC170" s="38">
        <f t="shared" si="68"/>
        <v>0</v>
      </c>
      <c r="CD170" s="38">
        <f t="shared" si="69"/>
        <v>0</v>
      </c>
      <c r="CE170" s="38" t="e">
        <f t="shared" si="70"/>
        <v>#DIV/0!</v>
      </c>
      <c r="CF170" s="38" t="e">
        <f t="shared" si="71"/>
        <v>#DIV/0!</v>
      </c>
      <c r="CG170" s="38">
        <f t="shared" si="72"/>
        <v>0</v>
      </c>
    </row>
    <row r="171" spans="1:85" ht="15.5" x14ac:dyDescent="0.35">
      <c r="A171" s="43">
        <v>164</v>
      </c>
      <c r="B171" s="43"/>
      <c r="C171" s="43"/>
      <c r="D171" s="7"/>
      <c r="L171" s="7"/>
      <c r="N171" s="7"/>
      <c r="O171" s="7"/>
      <c r="P171" s="7"/>
      <c r="Y171" s="24"/>
      <c r="AH171" s="7"/>
      <c r="AJ171" s="7"/>
      <c r="AK171" s="7"/>
      <c r="AL171" s="7"/>
      <c r="AU171" s="31">
        <f t="shared" si="58"/>
        <v>0</v>
      </c>
      <c r="BT171" s="36">
        <f t="shared" si="59"/>
        <v>0</v>
      </c>
      <c r="BU171" s="33">
        <f t="shared" si="64"/>
        <v>0</v>
      </c>
      <c r="BV171" s="33">
        <f t="shared" ref="BV171:BV200" si="73">SUMPRODUCT(($E$5:$BJ$5="CO3")*(ISNUMBER(L171:BQ171))*(L171:BQ171&gt;0), L171:BQ171)</f>
        <v>0</v>
      </c>
      <c r="BW171" s="36">
        <f t="shared" si="61"/>
        <v>0</v>
      </c>
      <c r="BX171" s="33">
        <f t="shared" si="66"/>
        <v>0</v>
      </c>
      <c r="BY171" s="33">
        <f t="shared" si="65"/>
        <v>0</v>
      </c>
      <c r="BZ171" s="33">
        <f t="shared" si="62"/>
        <v>0</v>
      </c>
      <c r="CB171" s="38">
        <f t="shared" si="67"/>
        <v>0</v>
      </c>
      <c r="CC171" s="38">
        <f t="shared" si="68"/>
        <v>0</v>
      </c>
      <c r="CD171" s="38">
        <f t="shared" si="69"/>
        <v>0</v>
      </c>
      <c r="CE171" s="38" t="e">
        <f t="shared" si="70"/>
        <v>#DIV/0!</v>
      </c>
      <c r="CF171" s="38" t="e">
        <f t="shared" si="71"/>
        <v>#DIV/0!</v>
      </c>
      <c r="CG171" s="38">
        <f t="shared" si="72"/>
        <v>0</v>
      </c>
    </row>
    <row r="172" spans="1:85" ht="15.5" x14ac:dyDescent="0.35">
      <c r="A172" s="43">
        <v>165</v>
      </c>
      <c r="B172" s="43"/>
      <c r="C172" s="43"/>
      <c r="D172" s="7"/>
      <c r="L172" s="7"/>
      <c r="N172" s="7"/>
      <c r="O172" s="7"/>
      <c r="P172" s="7"/>
      <c r="Y172" s="24"/>
      <c r="AH172" s="7"/>
      <c r="AJ172" s="7"/>
      <c r="AK172" s="7"/>
      <c r="AL172" s="7"/>
      <c r="AU172" s="31">
        <f t="shared" si="58"/>
        <v>0</v>
      </c>
      <c r="BT172" s="36">
        <f t="shared" si="59"/>
        <v>0</v>
      </c>
      <c r="BU172" s="33">
        <f t="shared" si="64"/>
        <v>0</v>
      </c>
      <c r="BV172" s="33">
        <f t="shared" si="73"/>
        <v>0</v>
      </c>
      <c r="BW172" s="36">
        <f t="shared" si="61"/>
        <v>0</v>
      </c>
      <c r="BX172" s="33">
        <f t="shared" si="66"/>
        <v>0</v>
      </c>
      <c r="BY172" s="33">
        <f t="shared" si="65"/>
        <v>0</v>
      </c>
      <c r="BZ172" s="33">
        <f t="shared" si="62"/>
        <v>0</v>
      </c>
      <c r="CB172" s="38">
        <f t="shared" si="67"/>
        <v>0</v>
      </c>
      <c r="CC172" s="38">
        <f t="shared" si="68"/>
        <v>0</v>
      </c>
      <c r="CD172" s="38">
        <f t="shared" si="69"/>
        <v>0</v>
      </c>
      <c r="CE172" s="38" t="e">
        <f t="shared" si="70"/>
        <v>#DIV/0!</v>
      </c>
      <c r="CF172" s="38" t="e">
        <f t="shared" si="71"/>
        <v>#DIV/0!</v>
      </c>
      <c r="CG172" s="38">
        <f t="shared" si="72"/>
        <v>0</v>
      </c>
    </row>
    <row r="173" spans="1:85" ht="15.5" x14ac:dyDescent="0.35">
      <c r="A173" s="43">
        <v>166</v>
      </c>
      <c r="B173" s="43"/>
      <c r="C173" s="43"/>
      <c r="D173" s="7"/>
      <c r="L173" s="7"/>
      <c r="N173" s="7"/>
      <c r="O173" s="7"/>
      <c r="P173" s="7"/>
      <c r="Y173" s="24"/>
      <c r="AH173" s="7"/>
      <c r="AJ173" s="7"/>
      <c r="AK173" s="7"/>
      <c r="AL173" s="7"/>
      <c r="AU173" s="31">
        <f t="shared" si="58"/>
        <v>0</v>
      </c>
      <c r="BT173" s="36">
        <f t="shared" si="59"/>
        <v>0</v>
      </c>
      <c r="BU173" s="33">
        <f t="shared" si="64"/>
        <v>0</v>
      </c>
      <c r="BV173" s="33">
        <f t="shared" si="73"/>
        <v>0</v>
      </c>
      <c r="BW173" s="36">
        <f t="shared" si="61"/>
        <v>0</v>
      </c>
      <c r="BX173" s="33">
        <f t="shared" si="66"/>
        <v>0</v>
      </c>
      <c r="BY173" s="33">
        <f t="shared" si="65"/>
        <v>0</v>
      </c>
      <c r="BZ173" s="33">
        <f t="shared" si="62"/>
        <v>0</v>
      </c>
      <c r="CB173" s="38">
        <f t="shared" si="67"/>
        <v>0</v>
      </c>
      <c r="CC173" s="38">
        <f t="shared" si="68"/>
        <v>0</v>
      </c>
      <c r="CD173" s="38">
        <f t="shared" si="69"/>
        <v>0</v>
      </c>
      <c r="CE173" s="38" t="e">
        <f t="shared" si="70"/>
        <v>#DIV/0!</v>
      </c>
      <c r="CF173" s="38" t="e">
        <f t="shared" si="71"/>
        <v>#DIV/0!</v>
      </c>
      <c r="CG173" s="38">
        <f t="shared" si="72"/>
        <v>0</v>
      </c>
    </row>
    <row r="174" spans="1:85" ht="15.5" x14ac:dyDescent="0.35">
      <c r="A174" s="43">
        <v>167</v>
      </c>
      <c r="B174" s="43"/>
      <c r="C174" s="43"/>
      <c r="D174" s="7"/>
      <c r="L174" s="7"/>
      <c r="N174" s="7"/>
      <c r="O174" s="7"/>
      <c r="P174" s="7"/>
      <c r="Y174" s="24"/>
      <c r="AH174" s="7"/>
      <c r="AJ174" s="7"/>
      <c r="AK174" s="7"/>
      <c r="AL174" s="7"/>
      <c r="AU174" s="31">
        <f t="shared" si="58"/>
        <v>0</v>
      </c>
      <c r="BT174" s="36">
        <f t="shared" si="59"/>
        <v>0</v>
      </c>
      <c r="BU174" s="33">
        <f t="shared" ref="BU174:BU200" si="74">SUMPRODUCT(($E$5:$BJ$5="CO2")*(ISNUMBER(L174:BQ174))*(L174:BQ174&gt;0), L174:BQ174)</f>
        <v>0</v>
      </c>
      <c r="BV174" s="33">
        <f t="shared" si="73"/>
        <v>0</v>
      </c>
      <c r="BW174" s="33">
        <f t="shared" ref="BW174:BW200" si="75">SUMPRODUCT(($E$5:$BJ$5="CO4")*(ISNUMBER(L174:BQ174))*(L174:BQ174&gt;0), L174:BQ174)</f>
        <v>0</v>
      </c>
      <c r="BX174" s="33">
        <f t="shared" si="66"/>
        <v>0</v>
      </c>
      <c r="BY174" s="33">
        <f t="shared" ref="BY174:BY200" si="76">SUMPRODUCT(($E$5:$BJ$5="CO6")*(ISNUMBER(L174:BQ174))*(L174:BQ174&gt;0), L174:BQ174)</f>
        <v>0</v>
      </c>
      <c r="BZ174" s="33">
        <f t="shared" si="62"/>
        <v>0</v>
      </c>
      <c r="CB174" s="38">
        <f t="shared" si="67"/>
        <v>0</v>
      </c>
      <c r="CC174" s="38">
        <f t="shared" si="68"/>
        <v>0</v>
      </c>
      <c r="CD174" s="38">
        <f t="shared" si="69"/>
        <v>0</v>
      </c>
      <c r="CE174" s="38" t="e">
        <f t="shared" si="70"/>
        <v>#DIV/0!</v>
      </c>
      <c r="CF174" s="38" t="e">
        <f t="shared" si="71"/>
        <v>#DIV/0!</v>
      </c>
      <c r="CG174" s="38">
        <f t="shared" si="72"/>
        <v>0</v>
      </c>
    </row>
    <row r="175" spans="1:85" ht="15.5" x14ac:dyDescent="0.35">
      <c r="A175" s="43">
        <v>168</v>
      </c>
      <c r="B175" s="43"/>
      <c r="C175" s="43"/>
      <c r="D175" s="7"/>
      <c r="L175" s="7"/>
      <c r="N175" s="7"/>
      <c r="O175" s="7"/>
      <c r="P175" s="7"/>
      <c r="Y175" s="24"/>
      <c r="AH175" s="7"/>
      <c r="AJ175" s="7"/>
      <c r="AK175" s="7"/>
      <c r="AL175" s="7"/>
      <c r="AU175" s="31">
        <f t="shared" si="58"/>
        <v>0</v>
      </c>
      <c r="BT175" s="36">
        <f t="shared" si="59"/>
        <v>0</v>
      </c>
      <c r="BU175" s="33">
        <f t="shared" si="74"/>
        <v>0</v>
      </c>
      <c r="BV175" s="33">
        <f t="shared" si="73"/>
        <v>0</v>
      </c>
      <c r="BW175" s="33">
        <f t="shared" si="75"/>
        <v>0</v>
      </c>
      <c r="BX175" s="33">
        <f t="shared" si="66"/>
        <v>0</v>
      </c>
      <c r="BY175" s="33">
        <f t="shared" si="76"/>
        <v>0</v>
      </c>
      <c r="BZ175" s="33">
        <f t="shared" si="62"/>
        <v>0</v>
      </c>
      <c r="CB175" s="38">
        <f t="shared" si="67"/>
        <v>0</v>
      </c>
      <c r="CC175" s="38">
        <f t="shared" si="68"/>
        <v>0</v>
      </c>
      <c r="CD175" s="38">
        <f t="shared" si="69"/>
        <v>0</v>
      </c>
      <c r="CE175" s="38" t="e">
        <f t="shared" si="70"/>
        <v>#DIV/0!</v>
      </c>
      <c r="CF175" s="38" t="e">
        <f t="shared" si="71"/>
        <v>#DIV/0!</v>
      </c>
      <c r="CG175" s="38">
        <f t="shared" si="72"/>
        <v>0</v>
      </c>
    </row>
    <row r="176" spans="1:85" ht="15.5" x14ac:dyDescent="0.35">
      <c r="A176" s="43">
        <v>169</v>
      </c>
      <c r="B176" s="43"/>
      <c r="C176" s="43"/>
      <c r="D176" s="7"/>
      <c r="L176" s="7"/>
      <c r="N176" s="7"/>
      <c r="O176" s="7"/>
      <c r="P176" s="7"/>
      <c r="Y176" s="24"/>
      <c r="AH176" s="7"/>
      <c r="AJ176" s="7"/>
      <c r="AK176" s="7"/>
      <c r="AL176" s="7"/>
      <c r="AU176" s="31">
        <f t="shared" si="58"/>
        <v>0</v>
      </c>
      <c r="BT176" s="36">
        <f t="shared" si="59"/>
        <v>0</v>
      </c>
      <c r="BU176" s="33">
        <f t="shared" si="74"/>
        <v>0</v>
      </c>
      <c r="BV176" s="33">
        <f t="shared" si="73"/>
        <v>0</v>
      </c>
      <c r="BW176" s="33">
        <f t="shared" si="75"/>
        <v>0</v>
      </c>
      <c r="BX176" s="33">
        <f t="shared" si="66"/>
        <v>0</v>
      </c>
      <c r="BY176" s="33">
        <f t="shared" si="76"/>
        <v>0</v>
      </c>
      <c r="BZ176" s="33">
        <f t="shared" si="62"/>
        <v>0</v>
      </c>
      <c r="CB176" s="38">
        <f t="shared" si="67"/>
        <v>0</v>
      </c>
      <c r="CC176" s="38">
        <f t="shared" si="68"/>
        <v>0</v>
      </c>
      <c r="CD176" s="38">
        <f t="shared" si="69"/>
        <v>0</v>
      </c>
      <c r="CE176" s="38" t="e">
        <f t="shared" si="70"/>
        <v>#DIV/0!</v>
      </c>
      <c r="CF176" s="38" t="e">
        <f t="shared" si="71"/>
        <v>#DIV/0!</v>
      </c>
      <c r="CG176" s="38">
        <f t="shared" si="72"/>
        <v>0</v>
      </c>
    </row>
    <row r="177" spans="1:85" ht="15.5" x14ac:dyDescent="0.35">
      <c r="A177" s="43">
        <v>170</v>
      </c>
      <c r="B177" s="43"/>
      <c r="C177" s="43"/>
      <c r="D177" s="7"/>
      <c r="L177" s="7"/>
      <c r="N177" s="7"/>
      <c r="O177" s="7"/>
      <c r="P177" s="7"/>
      <c r="Y177" s="24"/>
      <c r="AH177" s="7"/>
      <c r="AJ177" s="7"/>
      <c r="AK177" s="7"/>
      <c r="AL177" s="7"/>
      <c r="AU177" s="31">
        <f t="shared" si="58"/>
        <v>0</v>
      </c>
      <c r="BT177" s="36">
        <f t="shared" si="59"/>
        <v>0</v>
      </c>
      <c r="BU177" s="33">
        <f t="shared" si="74"/>
        <v>0</v>
      </c>
      <c r="BV177" s="33">
        <f t="shared" si="73"/>
        <v>0</v>
      </c>
      <c r="BW177" s="33">
        <f t="shared" si="75"/>
        <v>0</v>
      </c>
      <c r="BX177" s="33">
        <f t="shared" si="66"/>
        <v>0</v>
      </c>
      <c r="BY177" s="33">
        <f t="shared" si="76"/>
        <v>0</v>
      </c>
      <c r="BZ177" s="33">
        <f t="shared" si="62"/>
        <v>0</v>
      </c>
      <c r="CB177" s="38">
        <f t="shared" si="67"/>
        <v>0</v>
      </c>
      <c r="CC177" s="38">
        <f t="shared" si="68"/>
        <v>0</v>
      </c>
      <c r="CD177" s="38">
        <f t="shared" si="69"/>
        <v>0</v>
      </c>
      <c r="CE177" s="38" t="e">
        <f t="shared" si="70"/>
        <v>#DIV/0!</v>
      </c>
      <c r="CF177" s="38" t="e">
        <f t="shared" si="71"/>
        <v>#DIV/0!</v>
      </c>
      <c r="CG177" s="38">
        <f t="shared" si="72"/>
        <v>0</v>
      </c>
    </row>
    <row r="178" spans="1:85" ht="15.5" x14ac:dyDescent="0.35">
      <c r="A178" s="43">
        <v>171</v>
      </c>
      <c r="B178" s="43"/>
      <c r="C178" s="43"/>
      <c r="D178" s="7"/>
      <c r="L178" s="7"/>
      <c r="N178" s="7"/>
      <c r="O178" s="7"/>
      <c r="P178" s="7"/>
      <c r="Y178" s="24"/>
      <c r="AH178" s="7"/>
      <c r="AJ178" s="7"/>
      <c r="AK178" s="7"/>
      <c r="AL178" s="7"/>
      <c r="AU178" s="31">
        <f t="shared" si="58"/>
        <v>0</v>
      </c>
      <c r="BT178" s="36">
        <f t="shared" si="59"/>
        <v>0</v>
      </c>
      <c r="BU178" s="33">
        <f t="shared" si="74"/>
        <v>0</v>
      </c>
      <c r="BV178" s="33">
        <f t="shared" si="73"/>
        <v>0</v>
      </c>
      <c r="BW178" s="33">
        <f t="shared" si="75"/>
        <v>0</v>
      </c>
      <c r="BX178" s="33">
        <f t="shared" si="66"/>
        <v>0</v>
      </c>
      <c r="BY178" s="33">
        <f t="shared" si="76"/>
        <v>0</v>
      </c>
      <c r="BZ178" s="33">
        <f t="shared" si="62"/>
        <v>0</v>
      </c>
      <c r="CB178" s="38">
        <f t="shared" si="67"/>
        <v>0</v>
      </c>
      <c r="CC178" s="38">
        <f t="shared" si="68"/>
        <v>0</v>
      </c>
      <c r="CD178" s="38">
        <f t="shared" si="69"/>
        <v>0</v>
      </c>
      <c r="CE178" s="38" t="e">
        <f t="shared" si="70"/>
        <v>#DIV/0!</v>
      </c>
      <c r="CF178" s="38" t="e">
        <f t="shared" si="71"/>
        <v>#DIV/0!</v>
      </c>
      <c r="CG178" s="38">
        <f t="shared" si="72"/>
        <v>0</v>
      </c>
    </row>
    <row r="179" spans="1:85" ht="15.5" x14ac:dyDescent="0.35">
      <c r="A179" s="43">
        <v>172</v>
      </c>
      <c r="B179" s="43"/>
      <c r="C179" s="43"/>
      <c r="D179" s="7"/>
      <c r="L179" s="7"/>
      <c r="N179" s="7"/>
      <c r="O179" s="7"/>
      <c r="P179" s="7"/>
      <c r="Y179" s="24"/>
      <c r="AH179" s="7"/>
      <c r="AJ179" s="7"/>
      <c r="AK179" s="7"/>
      <c r="AL179" s="7"/>
      <c r="AU179" s="31">
        <f t="shared" si="58"/>
        <v>0</v>
      </c>
      <c r="BT179" s="36">
        <f t="shared" si="59"/>
        <v>0</v>
      </c>
      <c r="BU179" s="33">
        <f t="shared" si="74"/>
        <v>0</v>
      </c>
      <c r="BV179" s="33">
        <f t="shared" si="73"/>
        <v>0</v>
      </c>
      <c r="BW179" s="33">
        <f t="shared" si="75"/>
        <v>0</v>
      </c>
      <c r="BX179" s="33">
        <f t="shared" si="66"/>
        <v>0</v>
      </c>
      <c r="BY179" s="33">
        <f t="shared" si="76"/>
        <v>0</v>
      </c>
      <c r="BZ179" s="33">
        <f t="shared" si="62"/>
        <v>0</v>
      </c>
      <c r="CB179" s="38">
        <f t="shared" si="67"/>
        <v>0</v>
      </c>
      <c r="CC179" s="38">
        <f t="shared" si="68"/>
        <v>0</v>
      </c>
      <c r="CD179" s="38">
        <f t="shared" si="69"/>
        <v>0</v>
      </c>
      <c r="CE179" s="38" t="e">
        <f t="shared" si="70"/>
        <v>#DIV/0!</v>
      </c>
      <c r="CF179" s="38" t="e">
        <f t="shared" si="71"/>
        <v>#DIV/0!</v>
      </c>
      <c r="CG179" s="38">
        <f t="shared" si="72"/>
        <v>0</v>
      </c>
    </row>
    <row r="180" spans="1:85" ht="15.5" x14ac:dyDescent="0.35">
      <c r="A180" s="43">
        <v>173</v>
      </c>
      <c r="B180" s="43"/>
      <c r="C180" s="43"/>
      <c r="D180" s="7"/>
      <c r="L180" s="7"/>
      <c r="N180" s="7"/>
      <c r="O180" s="7"/>
      <c r="P180" s="7"/>
      <c r="Y180" s="24"/>
      <c r="AH180" s="7"/>
      <c r="AJ180" s="7"/>
      <c r="AK180" s="7"/>
      <c r="AL180" s="7"/>
      <c r="AU180" s="31">
        <f t="shared" si="58"/>
        <v>0</v>
      </c>
      <c r="BT180" s="36">
        <f t="shared" si="59"/>
        <v>0</v>
      </c>
      <c r="BU180" s="33">
        <f t="shared" si="74"/>
        <v>0</v>
      </c>
      <c r="BV180" s="33">
        <f t="shared" si="73"/>
        <v>0</v>
      </c>
      <c r="BW180" s="33">
        <f t="shared" si="75"/>
        <v>0</v>
      </c>
      <c r="BX180" s="33">
        <f t="shared" si="66"/>
        <v>0</v>
      </c>
      <c r="BY180" s="33">
        <f t="shared" si="76"/>
        <v>0</v>
      </c>
      <c r="BZ180" s="33">
        <f t="shared" si="62"/>
        <v>0</v>
      </c>
      <c r="CB180" s="38">
        <f t="shared" si="67"/>
        <v>0</v>
      </c>
      <c r="CC180" s="38">
        <f t="shared" si="68"/>
        <v>0</v>
      </c>
      <c r="CD180" s="38">
        <f t="shared" si="69"/>
        <v>0</v>
      </c>
      <c r="CE180" s="38" t="e">
        <f t="shared" si="70"/>
        <v>#DIV/0!</v>
      </c>
      <c r="CF180" s="38" t="e">
        <f t="shared" si="71"/>
        <v>#DIV/0!</v>
      </c>
      <c r="CG180" s="38">
        <f t="shared" si="72"/>
        <v>0</v>
      </c>
    </row>
    <row r="181" spans="1:85" ht="15.5" x14ac:dyDescent="0.35">
      <c r="A181" s="43">
        <v>174</v>
      </c>
      <c r="B181" s="43"/>
      <c r="C181" s="43"/>
      <c r="D181" s="7"/>
      <c r="L181" s="7"/>
      <c r="N181" s="7"/>
      <c r="O181" s="7"/>
      <c r="P181" s="7"/>
      <c r="Y181" s="24"/>
      <c r="AH181" s="7"/>
      <c r="AJ181" s="7"/>
      <c r="AK181" s="7"/>
      <c r="AL181" s="7"/>
      <c r="AU181" s="31">
        <f t="shared" si="58"/>
        <v>0</v>
      </c>
      <c r="BT181" s="36">
        <f t="shared" si="59"/>
        <v>0</v>
      </c>
      <c r="BU181" s="33">
        <f t="shared" si="74"/>
        <v>0</v>
      </c>
      <c r="BV181" s="33">
        <f t="shared" si="73"/>
        <v>0</v>
      </c>
      <c r="BW181" s="33">
        <f t="shared" si="75"/>
        <v>0</v>
      </c>
      <c r="BX181" s="33">
        <f t="shared" si="66"/>
        <v>0</v>
      </c>
      <c r="BY181" s="33">
        <f t="shared" si="76"/>
        <v>0</v>
      </c>
      <c r="BZ181" s="33">
        <f t="shared" si="62"/>
        <v>0</v>
      </c>
      <c r="CB181" s="38">
        <f t="shared" si="67"/>
        <v>0</v>
      </c>
      <c r="CC181" s="38">
        <f t="shared" si="68"/>
        <v>0</v>
      </c>
      <c r="CD181" s="38">
        <f t="shared" si="69"/>
        <v>0</v>
      </c>
      <c r="CE181" s="38" t="e">
        <f t="shared" si="70"/>
        <v>#DIV/0!</v>
      </c>
      <c r="CF181" s="38" t="e">
        <f t="shared" si="71"/>
        <v>#DIV/0!</v>
      </c>
      <c r="CG181" s="38">
        <f t="shared" si="72"/>
        <v>0</v>
      </c>
    </row>
    <row r="182" spans="1:85" ht="15.5" x14ac:dyDescent="0.35">
      <c r="A182" s="43">
        <v>175</v>
      </c>
      <c r="B182" s="43"/>
      <c r="C182" s="43"/>
      <c r="D182" s="7"/>
      <c r="L182" s="7"/>
      <c r="N182" s="7"/>
      <c r="O182" s="7"/>
      <c r="P182" s="7"/>
      <c r="Y182" s="24"/>
      <c r="AH182" s="7"/>
      <c r="AJ182" s="7"/>
      <c r="AK182" s="7"/>
      <c r="AL182" s="7"/>
      <c r="AU182" s="31">
        <f t="shared" si="58"/>
        <v>0</v>
      </c>
      <c r="BT182" s="36">
        <f t="shared" si="59"/>
        <v>0</v>
      </c>
      <c r="BU182" s="33">
        <f t="shared" si="74"/>
        <v>0</v>
      </c>
      <c r="BV182" s="33">
        <f t="shared" si="73"/>
        <v>0</v>
      </c>
      <c r="BW182" s="33">
        <f t="shared" si="75"/>
        <v>0</v>
      </c>
      <c r="BX182" s="33">
        <f t="shared" ref="BX182:BX200" si="77">SUMPRODUCT(($E$5:$BJ$5="CO5")*(ISNUMBER(L182:BQ182))*(L182:BQ182&gt;0), L182:BQ182)</f>
        <v>0</v>
      </c>
      <c r="BY182" s="33">
        <f t="shared" si="76"/>
        <v>0</v>
      </c>
      <c r="BZ182" s="33">
        <f t="shared" si="62"/>
        <v>0</v>
      </c>
      <c r="CB182" s="38">
        <f t="shared" si="67"/>
        <v>0</v>
      </c>
      <c r="CC182" s="38">
        <f t="shared" si="68"/>
        <v>0</v>
      </c>
      <c r="CD182" s="38">
        <f t="shared" si="69"/>
        <v>0</v>
      </c>
      <c r="CE182" s="38" t="e">
        <f t="shared" si="70"/>
        <v>#DIV/0!</v>
      </c>
      <c r="CF182" s="38" t="e">
        <f t="shared" si="71"/>
        <v>#DIV/0!</v>
      </c>
      <c r="CG182" s="38">
        <f t="shared" si="72"/>
        <v>0</v>
      </c>
    </row>
    <row r="183" spans="1:85" ht="15.5" x14ac:dyDescent="0.35">
      <c r="A183" s="43">
        <v>176</v>
      </c>
      <c r="B183" s="43"/>
      <c r="C183" s="43"/>
      <c r="D183" s="7"/>
      <c r="L183" s="7"/>
      <c r="N183" s="7"/>
      <c r="O183" s="7"/>
      <c r="P183" s="7"/>
      <c r="Y183" s="24"/>
      <c r="AH183" s="7"/>
      <c r="AJ183" s="7"/>
      <c r="AK183" s="7"/>
      <c r="AL183" s="7"/>
      <c r="AU183" s="31">
        <f t="shared" si="58"/>
        <v>0</v>
      </c>
      <c r="BT183" s="36">
        <f t="shared" si="59"/>
        <v>0</v>
      </c>
      <c r="BU183" s="33">
        <f t="shared" si="74"/>
        <v>0</v>
      </c>
      <c r="BV183" s="33">
        <f t="shared" si="73"/>
        <v>0</v>
      </c>
      <c r="BW183" s="33">
        <f t="shared" si="75"/>
        <v>0</v>
      </c>
      <c r="BX183" s="33">
        <f t="shared" si="77"/>
        <v>0</v>
      </c>
      <c r="BY183" s="33">
        <f t="shared" si="76"/>
        <v>0</v>
      </c>
      <c r="BZ183" s="33">
        <f t="shared" si="62"/>
        <v>0</v>
      </c>
      <c r="CB183" s="38">
        <f t="shared" si="67"/>
        <v>0</v>
      </c>
      <c r="CC183" s="38">
        <f t="shared" si="68"/>
        <v>0</v>
      </c>
      <c r="CD183" s="38">
        <f t="shared" si="69"/>
        <v>0</v>
      </c>
      <c r="CE183" s="38" t="e">
        <f t="shared" si="70"/>
        <v>#DIV/0!</v>
      </c>
      <c r="CF183" s="38" t="e">
        <f t="shared" si="71"/>
        <v>#DIV/0!</v>
      </c>
      <c r="CG183" s="38">
        <f t="shared" si="72"/>
        <v>0</v>
      </c>
    </row>
    <row r="184" spans="1:85" ht="15.5" x14ac:dyDescent="0.35">
      <c r="A184" s="43">
        <v>177</v>
      </c>
      <c r="B184" s="43"/>
      <c r="C184" s="43"/>
      <c r="D184" s="7"/>
      <c r="L184" s="7"/>
      <c r="N184" s="7"/>
      <c r="O184" s="7"/>
      <c r="P184" s="7"/>
      <c r="Y184" s="24"/>
      <c r="AH184" s="7"/>
      <c r="AJ184" s="7"/>
      <c r="AK184" s="7"/>
      <c r="AL184" s="7"/>
      <c r="AU184" s="31">
        <f t="shared" si="58"/>
        <v>0</v>
      </c>
      <c r="BT184" s="36">
        <f t="shared" si="59"/>
        <v>0</v>
      </c>
      <c r="BU184" s="33">
        <f t="shared" si="74"/>
        <v>0</v>
      </c>
      <c r="BV184" s="33">
        <f t="shared" si="73"/>
        <v>0</v>
      </c>
      <c r="BW184" s="33">
        <f t="shared" si="75"/>
        <v>0</v>
      </c>
      <c r="BX184" s="33">
        <f t="shared" si="77"/>
        <v>0</v>
      </c>
      <c r="BY184" s="33">
        <f t="shared" si="76"/>
        <v>0</v>
      </c>
      <c r="BZ184" s="33">
        <f t="shared" si="62"/>
        <v>0</v>
      </c>
      <c r="CB184" s="38">
        <f t="shared" si="67"/>
        <v>0</v>
      </c>
      <c r="CC184" s="38">
        <f t="shared" si="68"/>
        <v>0</v>
      </c>
      <c r="CD184" s="38">
        <f t="shared" si="69"/>
        <v>0</v>
      </c>
      <c r="CE184" s="38" t="e">
        <f t="shared" si="70"/>
        <v>#DIV/0!</v>
      </c>
      <c r="CF184" s="38" t="e">
        <f t="shared" si="71"/>
        <v>#DIV/0!</v>
      </c>
      <c r="CG184" s="38">
        <f t="shared" si="72"/>
        <v>0</v>
      </c>
    </row>
    <row r="185" spans="1:85" ht="15.5" x14ac:dyDescent="0.35">
      <c r="A185" s="43">
        <v>178</v>
      </c>
      <c r="B185" s="43"/>
      <c r="C185" s="43"/>
      <c r="D185" s="7"/>
      <c r="L185" s="7"/>
      <c r="N185" s="7"/>
      <c r="O185" s="7"/>
      <c r="P185" s="7"/>
      <c r="Y185" s="24"/>
      <c r="AH185" s="7"/>
      <c r="AJ185" s="7"/>
      <c r="AK185" s="7"/>
      <c r="AL185" s="7"/>
      <c r="AU185" s="31">
        <f t="shared" si="58"/>
        <v>0</v>
      </c>
      <c r="BT185" s="36">
        <f t="shared" si="59"/>
        <v>0</v>
      </c>
      <c r="BU185" s="33">
        <f t="shared" si="74"/>
        <v>0</v>
      </c>
      <c r="BV185" s="33">
        <f t="shared" si="73"/>
        <v>0</v>
      </c>
      <c r="BW185" s="33">
        <f t="shared" si="75"/>
        <v>0</v>
      </c>
      <c r="BX185" s="33">
        <f t="shared" si="77"/>
        <v>0</v>
      </c>
      <c r="BY185" s="33">
        <f t="shared" si="76"/>
        <v>0</v>
      </c>
      <c r="BZ185" s="33">
        <f t="shared" si="62"/>
        <v>0</v>
      </c>
      <c r="CB185" s="38">
        <f t="shared" si="67"/>
        <v>0</v>
      </c>
      <c r="CC185" s="38">
        <f t="shared" si="68"/>
        <v>0</v>
      </c>
      <c r="CD185" s="38">
        <f t="shared" si="69"/>
        <v>0</v>
      </c>
      <c r="CE185" s="38" t="e">
        <f t="shared" si="70"/>
        <v>#DIV/0!</v>
      </c>
      <c r="CF185" s="38" t="e">
        <f t="shared" si="71"/>
        <v>#DIV/0!</v>
      </c>
      <c r="CG185" s="38">
        <f t="shared" si="72"/>
        <v>0</v>
      </c>
    </row>
    <row r="186" spans="1:85" ht="15.5" x14ac:dyDescent="0.35">
      <c r="A186" s="43">
        <v>179</v>
      </c>
      <c r="B186" s="43"/>
      <c r="C186" s="43"/>
      <c r="D186" s="7"/>
      <c r="L186" s="7"/>
      <c r="N186" s="7"/>
      <c r="O186" s="7"/>
      <c r="P186" s="7"/>
      <c r="Y186" s="24"/>
      <c r="AH186" s="7"/>
      <c r="AJ186" s="7"/>
      <c r="AK186" s="7"/>
      <c r="AL186" s="7"/>
      <c r="AU186" s="31">
        <f t="shared" si="58"/>
        <v>0</v>
      </c>
      <c r="BT186" s="36">
        <f t="shared" si="59"/>
        <v>0</v>
      </c>
      <c r="BU186" s="33">
        <f t="shared" si="74"/>
        <v>0</v>
      </c>
      <c r="BV186" s="33">
        <f t="shared" si="73"/>
        <v>0</v>
      </c>
      <c r="BW186" s="33">
        <f t="shared" si="75"/>
        <v>0</v>
      </c>
      <c r="BX186" s="33">
        <f t="shared" si="77"/>
        <v>0</v>
      </c>
      <c r="BY186" s="33">
        <f t="shared" si="76"/>
        <v>0</v>
      </c>
      <c r="BZ186" s="33">
        <f t="shared" si="62"/>
        <v>0</v>
      </c>
      <c r="CB186" s="38">
        <f t="shared" si="67"/>
        <v>0</v>
      </c>
      <c r="CC186" s="38">
        <f t="shared" si="68"/>
        <v>0</v>
      </c>
      <c r="CD186" s="38">
        <f t="shared" si="69"/>
        <v>0</v>
      </c>
      <c r="CE186" s="38" t="e">
        <f t="shared" si="70"/>
        <v>#DIV/0!</v>
      </c>
      <c r="CF186" s="38" t="e">
        <f t="shared" si="71"/>
        <v>#DIV/0!</v>
      </c>
      <c r="CG186" s="38">
        <f t="shared" si="72"/>
        <v>0</v>
      </c>
    </row>
    <row r="187" spans="1:85" ht="15.5" x14ac:dyDescent="0.35">
      <c r="A187" s="43">
        <v>180</v>
      </c>
      <c r="B187" s="43"/>
      <c r="C187" s="43"/>
      <c r="D187" s="7"/>
      <c r="L187" s="7"/>
      <c r="N187" s="7"/>
      <c r="O187" s="7"/>
      <c r="P187" s="7"/>
      <c r="Y187" s="24"/>
      <c r="AH187" s="7"/>
      <c r="AJ187" s="7"/>
      <c r="AK187" s="7"/>
      <c r="AL187" s="7"/>
      <c r="AU187" s="31">
        <f t="shared" si="58"/>
        <v>0</v>
      </c>
      <c r="BT187" s="36">
        <f t="shared" si="59"/>
        <v>0</v>
      </c>
      <c r="BU187" s="33">
        <f t="shared" si="74"/>
        <v>0</v>
      </c>
      <c r="BV187" s="33">
        <f t="shared" si="73"/>
        <v>0</v>
      </c>
      <c r="BW187" s="33">
        <f t="shared" si="75"/>
        <v>0</v>
      </c>
      <c r="BX187" s="33">
        <f t="shared" si="77"/>
        <v>0</v>
      </c>
      <c r="BY187" s="33">
        <f t="shared" si="76"/>
        <v>0</v>
      </c>
      <c r="BZ187" s="33">
        <f t="shared" si="62"/>
        <v>0</v>
      </c>
      <c r="CB187" s="38">
        <f t="shared" si="67"/>
        <v>0</v>
      </c>
      <c r="CC187" s="38">
        <f t="shared" si="68"/>
        <v>0</v>
      </c>
      <c r="CD187" s="38">
        <f t="shared" si="69"/>
        <v>0</v>
      </c>
      <c r="CE187" s="38" t="e">
        <f t="shared" si="70"/>
        <v>#DIV/0!</v>
      </c>
      <c r="CF187" s="38" t="e">
        <f t="shared" si="71"/>
        <v>#DIV/0!</v>
      </c>
      <c r="CG187" s="38">
        <f t="shared" si="72"/>
        <v>0</v>
      </c>
    </row>
    <row r="188" spans="1:85" ht="15.5" x14ac:dyDescent="0.35">
      <c r="D188" s="7"/>
      <c r="L188" s="7"/>
      <c r="N188" s="7"/>
      <c r="O188" s="7"/>
      <c r="P188" s="7"/>
      <c r="Y188" s="24"/>
      <c r="AH188" s="7"/>
      <c r="AJ188" s="7"/>
      <c r="AK188" s="7"/>
      <c r="AL188" s="7"/>
      <c r="AU188" s="31">
        <f t="shared" si="58"/>
        <v>0</v>
      </c>
      <c r="BT188" s="36">
        <f t="shared" si="59"/>
        <v>0</v>
      </c>
      <c r="BU188" s="33">
        <f t="shared" si="74"/>
        <v>0</v>
      </c>
      <c r="BV188" s="33">
        <f t="shared" si="73"/>
        <v>0</v>
      </c>
      <c r="BW188" s="33">
        <f t="shared" si="75"/>
        <v>0</v>
      </c>
      <c r="BX188" s="33">
        <f t="shared" si="77"/>
        <v>0</v>
      </c>
      <c r="BY188" s="33">
        <f t="shared" si="76"/>
        <v>0</v>
      </c>
      <c r="BZ188" s="33">
        <f t="shared" si="62"/>
        <v>0</v>
      </c>
      <c r="CB188" s="38">
        <f t="shared" si="67"/>
        <v>0</v>
      </c>
      <c r="CC188" s="38">
        <f t="shared" si="68"/>
        <v>0</v>
      </c>
      <c r="CD188" s="38">
        <f t="shared" si="69"/>
        <v>0</v>
      </c>
      <c r="CE188" s="38" t="e">
        <f t="shared" si="70"/>
        <v>#DIV/0!</v>
      </c>
      <c r="CF188" s="38" t="e">
        <f t="shared" si="71"/>
        <v>#DIV/0!</v>
      </c>
      <c r="CG188" s="38">
        <f t="shared" si="72"/>
        <v>0</v>
      </c>
    </row>
    <row r="189" spans="1:85" ht="15.5" x14ac:dyDescent="0.35">
      <c r="D189" s="7"/>
      <c r="L189" s="7"/>
      <c r="N189" s="7"/>
      <c r="O189" s="7"/>
      <c r="P189" s="7"/>
      <c r="Y189" s="24"/>
      <c r="AH189" s="7"/>
      <c r="AJ189" s="7"/>
      <c r="AK189" s="7"/>
      <c r="AL189" s="7"/>
      <c r="AU189" s="31">
        <f t="shared" si="58"/>
        <v>0</v>
      </c>
      <c r="BT189" s="36">
        <f t="shared" si="59"/>
        <v>0</v>
      </c>
      <c r="BU189" s="33">
        <f t="shared" si="74"/>
        <v>0</v>
      </c>
      <c r="BV189" s="33">
        <f t="shared" si="73"/>
        <v>0</v>
      </c>
      <c r="BW189" s="33">
        <f t="shared" si="75"/>
        <v>0</v>
      </c>
      <c r="BX189" s="33">
        <f t="shared" si="77"/>
        <v>0</v>
      </c>
      <c r="BY189" s="33">
        <f t="shared" si="76"/>
        <v>0</v>
      </c>
      <c r="BZ189" s="33">
        <f t="shared" si="62"/>
        <v>0</v>
      </c>
      <c r="CB189" s="38">
        <f t="shared" si="67"/>
        <v>0</v>
      </c>
      <c r="CC189" s="38">
        <f t="shared" si="68"/>
        <v>0</v>
      </c>
      <c r="CD189" s="38">
        <f t="shared" si="69"/>
        <v>0</v>
      </c>
      <c r="CE189" s="38" t="e">
        <f t="shared" si="70"/>
        <v>#DIV/0!</v>
      </c>
      <c r="CF189" s="38" t="e">
        <f t="shared" si="71"/>
        <v>#DIV/0!</v>
      </c>
      <c r="CG189" s="38">
        <f t="shared" si="72"/>
        <v>0</v>
      </c>
    </row>
    <row r="190" spans="1:85" ht="15.5" x14ac:dyDescent="0.35">
      <c r="D190" s="7"/>
      <c r="L190" s="7"/>
      <c r="N190" s="7"/>
      <c r="O190" s="7"/>
      <c r="P190" s="7"/>
      <c r="Y190" s="24"/>
      <c r="AH190" s="7"/>
      <c r="AJ190" s="7"/>
      <c r="AK190" s="7"/>
      <c r="AL190" s="7"/>
      <c r="AU190" s="31">
        <f t="shared" si="58"/>
        <v>0</v>
      </c>
      <c r="BT190" s="36">
        <f t="shared" si="59"/>
        <v>0</v>
      </c>
      <c r="BU190" s="33">
        <f t="shared" si="74"/>
        <v>0</v>
      </c>
      <c r="BV190" s="33">
        <f t="shared" si="73"/>
        <v>0</v>
      </c>
      <c r="BW190" s="33">
        <f t="shared" si="75"/>
        <v>0</v>
      </c>
      <c r="BX190" s="33">
        <f t="shared" si="77"/>
        <v>0</v>
      </c>
      <c r="BY190" s="33">
        <f t="shared" si="76"/>
        <v>0</v>
      </c>
      <c r="BZ190" s="33">
        <f t="shared" si="62"/>
        <v>0</v>
      </c>
      <c r="CB190" s="38">
        <f t="shared" si="67"/>
        <v>0</v>
      </c>
      <c r="CC190" s="38">
        <f t="shared" si="68"/>
        <v>0</v>
      </c>
      <c r="CD190" s="38">
        <f t="shared" si="69"/>
        <v>0</v>
      </c>
      <c r="CE190" s="38" t="e">
        <f t="shared" si="70"/>
        <v>#DIV/0!</v>
      </c>
      <c r="CF190" s="38" t="e">
        <f t="shared" si="71"/>
        <v>#DIV/0!</v>
      </c>
      <c r="CG190" s="38">
        <f t="shared" si="72"/>
        <v>0</v>
      </c>
    </row>
    <row r="191" spans="1:85" ht="15.5" x14ac:dyDescent="0.35">
      <c r="D191" s="7"/>
      <c r="L191" s="7"/>
      <c r="N191" s="7"/>
      <c r="O191" s="7"/>
      <c r="P191" s="7"/>
      <c r="Y191" s="24"/>
      <c r="AH191" s="7"/>
      <c r="AJ191" s="7"/>
      <c r="AK191" s="7"/>
      <c r="AL191" s="7"/>
      <c r="AU191" s="31">
        <f t="shared" si="58"/>
        <v>0</v>
      </c>
      <c r="BT191" s="36">
        <f t="shared" si="59"/>
        <v>0</v>
      </c>
      <c r="BU191" s="33">
        <f t="shared" si="74"/>
        <v>0</v>
      </c>
      <c r="BV191" s="33">
        <f t="shared" si="73"/>
        <v>0</v>
      </c>
      <c r="BW191" s="33">
        <f t="shared" si="75"/>
        <v>0</v>
      </c>
      <c r="BX191" s="33">
        <f t="shared" si="77"/>
        <v>0</v>
      </c>
      <c r="BY191" s="33">
        <f t="shared" si="76"/>
        <v>0</v>
      </c>
      <c r="BZ191" s="33">
        <f t="shared" si="62"/>
        <v>0</v>
      </c>
      <c r="CB191" s="38">
        <f t="shared" si="67"/>
        <v>0</v>
      </c>
      <c r="CC191" s="38">
        <f t="shared" si="68"/>
        <v>0</v>
      </c>
      <c r="CD191" s="38">
        <f t="shared" si="69"/>
        <v>0</v>
      </c>
      <c r="CE191" s="38" t="e">
        <f t="shared" si="70"/>
        <v>#DIV/0!</v>
      </c>
      <c r="CF191" s="38" t="e">
        <f t="shared" si="71"/>
        <v>#DIV/0!</v>
      </c>
      <c r="CG191" s="38">
        <f t="shared" si="72"/>
        <v>0</v>
      </c>
    </row>
    <row r="192" spans="1:85" ht="15.5" x14ac:dyDescent="0.35">
      <c r="D192" s="7"/>
      <c r="L192" s="7"/>
      <c r="N192" s="7"/>
      <c r="O192" s="7"/>
      <c r="P192" s="7"/>
      <c r="Y192" s="24"/>
      <c r="AH192" s="7"/>
      <c r="AJ192" s="7"/>
      <c r="AK192" s="7"/>
      <c r="AL192" s="7"/>
      <c r="AU192" s="31">
        <f t="shared" si="58"/>
        <v>0</v>
      </c>
      <c r="BT192" s="36">
        <f t="shared" si="59"/>
        <v>0</v>
      </c>
      <c r="BU192" s="33">
        <f t="shared" si="74"/>
        <v>0</v>
      </c>
      <c r="BV192" s="33">
        <f t="shared" si="73"/>
        <v>0</v>
      </c>
      <c r="BW192" s="33">
        <f t="shared" si="75"/>
        <v>0</v>
      </c>
      <c r="BX192" s="33">
        <f t="shared" si="77"/>
        <v>0</v>
      </c>
      <c r="BY192" s="33">
        <f t="shared" si="76"/>
        <v>0</v>
      </c>
      <c r="BZ192" s="33">
        <f t="shared" si="62"/>
        <v>0</v>
      </c>
      <c r="CB192" s="38">
        <f t="shared" si="67"/>
        <v>0</v>
      </c>
      <c r="CC192" s="38">
        <f t="shared" si="68"/>
        <v>0</v>
      </c>
      <c r="CD192" s="38">
        <f t="shared" si="69"/>
        <v>0</v>
      </c>
      <c r="CE192" s="38" t="e">
        <f t="shared" si="70"/>
        <v>#DIV/0!</v>
      </c>
      <c r="CF192" s="38" t="e">
        <f t="shared" si="71"/>
        <v>#DIV/0!</v>
      </c>
      <c r="CG192" s="38">
        <f t="shared" si="72"/>
        <v>0</v>
      </c>
    </row>
    <row r="193" spans="4:85" ht="15.5" x14ac:dyDescent="0.35">
      <c r="D193" s="7"/>
      <c r="L193" s="7"/>
      <c r="N193" s="7"/>
      <c r="O193" s="7"/>
      <c r="P193" s="7"/>
      <c r="Y193" s="24"/>
      <c r="AH193" s="7"/>
      <c r="AJ193" s="7"/>
      <c r="AK193" s="7"/>
      <c r="AL193" s="7"/>
      <c r="AU193" s="24"/>
      <c r="BT193" s="36">
        <f t="shared" si="59"/>
        <v>0</v>
      </c>
      <c r="BU193" s="33">
        <f t="shared" si="74"/>
        <v>0</v>
      </c>
      <c r="BV193" s="33">
        <f t="shared" si="73"/>
        <v>0</v>
      </c>
      <c r="BW193" s="33">
        <f t="shared" si="75"/>
        <v>0</v>
      </c>
      <c r="BX193" s="33">
        <f t="shared" si="77"/>
        <v>0</v>
      </c>
      <c r="BY193" s="33">
        <f t="shared" si="76"/>
        <v>0</v>
      </c>
      <c r="BZ193" s="33">
        <f t="shared" si="62"/>
        <v>0</v>
      </c>
      <c r="CB193" s="38">
        <f t="shared" si="67"/>
        <v>0</v>
      </c>
      <c r="CC193" s="38">
        <f t="shared" si="68"/>
        <v>0</v>
      </c>
      <c r="CD193" s="38">
        <f t="shared" si="69"/>
        <v>0</v>
      </c>
      <c r="CE193" s="38" t="e">
        <f t="shared" si="70"/>
        <v>#DIV/0!</v>
      </c>
      <c r="CF193" s="38" t="e">
        <f t="shared" si="71"/>
        <v>#DIV/0!</v>
      </c>
      <c r="CG193" s="38">
        <f t="shared" si="72"/>
        <v>0</v>
      </c>
    </row>
    <row r="194" spans="4:85" ht="15.5" x14ac:dyDescent="0.35">
      <c r="D194" s="7"/>
      <c r="L194" s="7"/>
      <c r="N194" s="7"/>
      <c r="O194" s="7"/>
      <c r="P194" s="7"/>
      <c r="Y194" s="24"/>
      <c r="AH194" s="7"/>
      <c r="AJ194" s="7"/>
      <c r="AK194" s="7"/>
      <c r="AL194" s="7"/>
      <c r="AU194" s="24"/>
      <c r="BT194" s="36">
        <f t="shared" si="59"/>
        <v>0</v>
      </c>
      <c r="BU194" s="33">
        <f t="shared" si="74"/>
        <v>0</v>
      </c>
      <c r="BV194" s="33">
        <f t="shared" si="73"/>
        <v>0</v>
      </c>
      <c r="BW194" s="33">
        <f t="shared" si="75"/>
        <v>0</v>
      </c>
      <c r="BX194" s="33">
        <f t="shared" si="77"/>
        <v>0</v>
      </c>
      <c r="BY194" s="33">
        <f t="shared" si="76"/>
        <v>0</v>
      </c>
      <c r="BZ194" s="33">
        <f t="shared" si="62"/>
        <v>0</v>
      </c>
      <c r="CB194" s="38">
        <f t="shared" si="67"/>
        <v>0</v>
      </c>
      <c r="CC194" s="38">
        <f t="shared" si="68"/>
        <v>0</v>
      </c>
      <c r="CD194" s="38">
        <f t="shared" si="69"/>
        <v>0</v>
      </c>
      <c r="CE194" s="38" t="e">
        <f t="shared" si="70"/>
        <v>#DIV/0!</v>
      </c>
      <c r="CF194" s="38" t="e">
        <f t="shared" si="71"/>
        <v>#DIV/0!</v>
      </c>
      <c r="CG194" s="38">
        <f t="shared" si="72"/>
        <v>0</v>
      </c>
    </row>
    <row r="195" spans="4:85" ht="15.5" x14ac:dyDescent="0.35">
      <c r="D195" s="7"/>
      <c r="L195" s="7"/>
      <c r="N195" s="7"/>
      <c r="O195" s="7"/>
      <c r="P195" s="7"/>
      <c r="Y195" s="24"/>
      <c r="AH195" s="7"/>
      <c r="AJ195" s="7"/>
      <c r="AK195" s="7"/>
      <c r="AL195" s="7"/>
      <c r="AU195" s="24"/>
      <c r="BT195" s="36">
        <f t="shared" si="59"/>
        <v>0</v>
      </c>
      <c r="BU195" s="33">
        <f t="shared" si="74"/>
        <v>0</v>
      </c>
      <c r="BV195" s="33">
        <f t="shared" si="73"/>
        <v>0</v>
      </c>
      <c r="BW195" s="33">
        <f t="shared" si="75"/>
        <v>0</v>
      </c>
      <c r="BX195" s="33">
        <f t="shared" si="77"/>
        <v>0</v>
      </c>
      <c r="BY195" s="33">
        <f t="shared" si="76"/>
        <v>0</v>
      </c>
      <c r="BZ195" s="33">
        <f t="shared" si="62"/>
        <v>0</v>
      </c>
      <c r="CB195" s="38">
        <f t="shared" si="67"/>
        <v>0</v>
      </c>
      <c r="CC195" s="38">
        <f t="shared" si="68"/>
        <v>0</v>
      </c>
      <c r="CD195" s="38">
        <f t="shared" si="69"/>
        <v>0</v>
      </c>
      <c r="CE195" s="38" t="e">
        <f t="shared" si="70"/>
        <v>#DIV/0!</v>
      </c>
      <c r="CF195" s="38" t="e">
        <f t="shared" si="71"/>
        <v>#DIV/0!</v>
      </c>
      <c r="CG195" s="38">
        <f t="shared" si="72"/>
        <v>0</v>
      </c>
    </row>
    <row r="196" spans="4:85" x14ac:dyDescent="0.35">
      <c r="D196" s="7"/>
      <c r="L196" s="7"/>
      <c r="N196" s="7"/>
      <c r="O196" s="7"/>
      <c r="P196" s="7"/>
      <c r="Y196" s="24"/>
      <c r="AH196" s="7"/>
      <c r="AJ196" s="7"/>
      <c r="AK196" s="7"/>
      <c r="AL196" s="7"/>
      <c r="AU196" s="24"/>
      <c r="BT196" s="33">
        <f>SUMPRODUCT(($E$5:$BJ$5="CO1")*(ISNUMBER(L196:BQ196))*(L196:BQ196&gt;0), L196:BQ196)</f>
        <v>0</v>
      </c>
      <c r="BU196" s="33">
        <f t="shared" si="74"/>
        <v>0</v>
      </c>
      <c r="BV196" s="33">
        <f t="shared" si="73"/>
        <v>0</v>
      </c>
      <c r="BW196" s="33">
        <f t="shared" si="75"/>
        <v>0</v>
      </c>
      <c r="BX196" s="33">
        <f t="shared" si="77"/>
        <v>0</v>
      </c>
      <c r="BY196" s="33">
        <f t="shared" si="76"/>
        <v>0</v>
      </c>
      <c r="BZ196" s="33">
        <f t="shared" si="62"/>
        <v>0</v>
      </c>
      <c r="CB196" s="38">
        <f t="shared" si="67"/>
        <v>0</v>
      </c>
      <c r="CC196" s="38">
        <f t="shared" si="68"/>
        <v>0</v>
      </c>
      <c r="CD196" s="38">
        <f t="shared" si="69"/>
        <v>0</v>
      </c>
      <c r="CE196" s="38" t="e">
        <f t="shared" si="70"/>
        <v>#DIV/0!</v>
      </c>
      <c r="CF196" s="38" t="e">
        <f t="shared" si="71"/>
        <v>#DIV/0!</v>
      </c>
      <c r="CG196" s="38">
        <f t="shared" si="72"/>
        <v>0</v>
      </c>
    </row>
    <row r="197" spans="4:85" x14ac:dyDescent="0.35">
      <c r="D197" s="7"/>
      <c r="L197" s="7"/>
      <c r="N197" s="7"/>
      <c r="O197" s="7"/>
      <c r="P197" s="7"/>
      <c r="Y197" s="24"/>
      <c r="AH197" s="7"/>
      <c r="AJ197" s="7"/>
      <c r="AK197" s="7"/>
      <c r="AL197" s="7"/>
      <c r="AU197" s="24"/>
      <c r="BT197" s="33">
        <f>SUMPRODUCT(($E$5:$BJ$5="CO1")*(ISNUMBER(L197:BQ197))*(L197:BQ197&gt;0), L197:BQ197)</f>
        <v>0</v>
      </c>
      <c r="BU197" s="33">
        <f t="shared" si="74"/>
        <v>0</v>
      </c>
      <c r="BV197" s="33">
        <f t="shared" si="73"/>
        <v>0</v>
      </c>
      <c r="BW197" s="33">
        <f t="shared" si="75"/>
        <v>0</v>
      </c>
      <c r="BX197" s="33">
        <f t="shared" si="77"/>
        <v>0</v>
      </c>
      <c r="BY197" s="33">
        <f t="shared" si="76"/>
        <v>0</v>
      </c>
      <c r="BZ197" s="33">
        <f t="shared" si="62"/>
        <v>0</v>
      </c>
      <c r="CB197" s="38">
        <f t="shared" si="67"/>
        <v>0</v>
      </c>
      <c r="CC197" s="38">
        <f t="shared" si="68"/>
        <v>0</v>
      </c>
      <c r="CD197" s="38">
        <f t="shared" si="69"/>
        <v>0</v>
      </c>
      <c r="CE197" s="38" t="e">
        <f t="shared" si="70"/>
        <v>#DIV/0!</v>
      </c>
      <c r="CF197" s="38" t="e">
        <f t="shared" si="71"/>
        <v>#DIV/0!</v>
      </c>
      <c r="CG197" s="38">
        <f t="shared" si="72"/>
        <v>0</v>
      </c>
    </row>
    <row r="198" spans="4:85" x14ac:dyDescent="0.35">
      <c r="D198" s="7"/>
      <c r="L198" s="7"/>
      <c r="N198" s="7"/>
      <c r="O198" s="7"/>
      <c r="P198" s="7"/>
      <c r="Y198" s="24"/>
      <c r="AH198" s="7"/>
      <c r="AJ198" s="7"/>
      <c r="AK198" s="7"/>
      <c r="AL198" s="7"/>
      <c r="AU198" s="24"/>
      <c r="BT198" s="33">
        <f>SUMPRODUCT(($E$5:$BJ$5="CO1")*(ISNUMBER(L198:BQ198))*(L198:BQ198&gt;0), L198:BQ198)</f>
        <v>0</v>
      </c>
      <c r="BU198" s="33">
        <f t="shared" si="74"/>
        <v>0</v>
      </c>
      <c r="BV198" s="33">
        <f t="shared" si="73"/>
        <v>0</v>
      </c>
      <c r="BW198" s="33">
        <f t="shared" si="75"/>
        <v>0</v>
      </c>
      <c r="BX198" s="33">
        <f t="shared" si="77"/>
        <v>0</v>
      </c>
      <c r="BY198" s="33">
        <f t="shared" si="76"/>
        <v>0</v>
      </c>
      <c r="BZ198" s="33">
        <f t="shared" si="62"/>
        <v>0</v>
      </c>
      <c r="CB198" s="38">
        <f t="shared" si="67"/>
        <v>0</v>
      </c>
      <c r="CC198" s="38">
        <f t="shared" si="68"/>
        <v>0</v>
      </c>
      <c r="CD198" s="38">
        <f t="shared" si="69"/>
        <v>0</v>
      </c>
      <c r="CE198" s="38" t="e">
        <f t="shared" si="70"/>
        <v>#DIV/0!</v>
      </c>
      <c r="CF198" s="38" t="e">
        <f t="shared" si="71"/>
        <v>#DIV/0!</v>
      </c>
      <c r="CG198" s="38">
        <f t="shared" si="72"/>
        <v>0</v>
      </c>
    </row>
    <row r="199" spans="4:85" x14ac:dyDescent="0.35">
      <c r="D199" s="7"/>
      <c r="L199" s="7"/>
      <c r="N199" s="7"/>
      <c r="O199" s="7"/>
      <c r="P199" s="7"/>
      <c r="Y199" s="24"/>
      <c r="AH199" s="7"/>
      <c r="AJ199" s="7"/>
      <c r="AK199" s="7"/>
      <c r="AL199" s="7"/>
      <c r="AU199" s="24"/>
      <c r="BT199" s="33">
        <f>SUMPRODUCT(($E$5:$BJ$5="CO1")*(ISNUMBER(L199:BQ199))*(L199:BQ199&gt;0), L199:BQ199)</f>
        <v>0</v>
      </c>
      <c r="BU199" s="33">
        <f t="shared" si="74"/>
        <v>0</v>
      </c>
      <c r="BV199" s="33">
        <f t="shared" si="73"/>
        <v>0</v>
      </c>
      <c r="BW199" s="33">
        <f t="shared" si="75"/>
        <v>0</v>
      </c>
      <c r="BX199" s="33">
        <f t="shared" si="77"/>
        <v>0</v>
      </c>
      <c r="BY199" s="33">
        <f t="shared" si="76"/>
        <v>0</v>
      </c>
      <c r="BZ199" s="33">
        <f t="shared" si="62"/>
        <v>0</v>
      </c>
      <c r="CB199" s="38">
        <f t="shared" si="67"/>
        <v>0</v>
      </c>
      <c r="CC199" s="38">
        <f t="shared" si="68"/>
        <v>0</v>
      </c>
      <c r="CD199" s="38">
        <f t="shared" si="69"/>
        <v>0</v>
      </c>
      <c r="CE199" s="38" t="e">
        <f t="shared" si="70"/>
        <v>#DIV/0!</v>
      </c>
      <c r="CF199" s="38" t="e">
        <f t="shared" si="71"/>
        <v>#DIV/0!</v>
      </c>
      <c r="CG199" s="38">
        <f t="shared" si="72"/>
        <v>0</v>
      </c>
    </row>
    <row r="200" spans="4:85" x14ac:dyDescent="0.35">
      <c r="D200" s="7"/>
      <c r="L200" s="7"/>
      <c r="N200" s="7"/>
      <c r="O200" s="7"/>
      <c r="P200" s="7"/>
      <c r="Y200" s="24"/>
      <c r="AH200" s="7"/>
      <c r="AJ200" s="7"/>
      <c r="AK200" s="7"/>
      <c r="AL200" s="7"/>
      <c r="AU200" s="24"/>
      <c r="BT200" s="33">
        <f>SUMPRODUCT(($E$5:$BJ$5="CO1")*(ISNUMBER(L200:BQ200))*(L200:BQ200&gt;0), L200:BQ200)</f>
        <v>0</v>
      </c>
      <c r="BU200" s="33">
        <f t="shared" si="74"/>
        <v>0</v>
      </c>
      <c r="BV200" s="33">
        <f t="shared" si="73"/>
        <v>0</v>
      </c>
      <c r="BW200" s="33">
        <f t="shared" si="75"/>
        <v>0</v>
      </c>
      <c r="BX200" s="33">
        <f t="shared" si="77"/>
        <v>0</v>
      </c>
      <c r="BY200" s="33">
        <f t="shared" si="76"/>
        <v>0</v>
      </c>
      <c r="BZ200" s="33">
        <f t="shared" ref="BZ200" si="78">SUM(BT200:BY200)</f>
        <v>0</v>
      </c>
      <c r="CB200" s="38">
        <f t="shared" si="67"/>
        <v>0</v>
      </c>
      <c r="CC200" s="38">
        <f t="shared" si="68"/>
        <v>0</v>
      </c>
      <c r="CD200" s="38">
        <f t="shared" si="69"/>
        <v>0</v>
      </c>
      <c r="CE200" s="38" t="e">
        <f t="shared" si="70"/>
        <v>#DIV/0!</v>
      </c>
      <c r="CF200" s="38" t="e">
        <f t="shared" si="71"/>
        <v>#DIV/0!</v>
      </c>
      <c r="CG200" s="38">
        <f t="shared" si="72"/>
        <v>0</v>
      </c>
    </row>
  </sheetData>
  <mergeCells count="12">
    <mergeCell ref="BT1:BZ4"/>
    <mergeCell ref="CB4:CG4"/>
    <mergeCell ref="BD4:BI4"/>
    <mergeCell ref="BL4:BQ4"/>
    <mergeCell ref="E3:Y3"/>
    <mergeCell ref="E4:J4"/>
    <mergeCell ref="K4:P4"/>
    <mergeCell ref="Q4:X4"/>
    <mergeCell ref="AA3:AR3"/>
    <mergeCell ref="AA4:AF4"/>
    <mergeCell ref="AG4:AL4"/>
    <mergeCell ref="AM4:AT4"/>
  </mergeCells>
  <conditionalFormatting sqref="E8:Q200">
    <cfRule type="cellIs" dxfId="11" priority="12" operator="greaterThan">
      <formula>E$7</formula>
    </cfRule>
  </conditionalFormatting>
  <conditionalFormatting sqref="Q8:R200">
    <cfRule type="cellIs" dxfId="10" priority="11" operator="greaterThan">
      <formula>$Q$7</formula>
    </cfRule>
  </conditionalFormatting>
  <conditionalFormatting sqref="S8:T200">
    <cfRule type="cellIs" dxfId="9" priority="10" operator="greaterThan">
      <formula>$S$7</formula>
    </cfRule>
  </conditionalFormatting>
  <conditionalFormatting sqref="U8:X200">
    <cfRule type="cellIs" dxfId="8" priority="9" operator="greaterThan">
      <formula>$U$7</formula>
    </cfRule>
  </conditionalFormatting>
  <conditionalFormatting sqref="Y88:Y200">
    <cfRule type="cellIs" dxfId="7" priority="8" operator="greaterThan">
      <formula>$Y$7</formula>
    </cfRule>
  </conditionalFormatting>
  <conditionalFormatting sqref="AA8:AM200">
    <cfRule type="cellIs" dxfId="6" priority="7" operator="greaterThan">
      <formula>AA$7</formula>
    </cfRule>
  </conditionalFormatting>
  <conditionalFormatting sqref="AM8:AN200">
    <cfRule type="cellIs" dxfId="5" priority="6" operator="greaterThan">
      <formula>$Q$7</formula>
    </cfRule>
  </conditionalFormatting>
  <conditionalFormatting sqref="AO8:AP200">
    <cfRule type="cellIs" dxfId="4" priority="5" operator="greaterThan">
      <formula>$S$7</formula>
    </cfRule>
  </conditionalFormatting>
  <conditionalFormatting sqref="AQ8:AT200">
    <cfRule type="cellIs" dxfId="3" priority="4" operator="greaterThan">
      <formula>$U$7</formula>
    </cfRule>
  </conditionalFormatting>
  <conditionalFormatting sqref="AU193:AU200">
    <cfRule type="cellIs" dxfId="2" priority="3" operator="greaterThan">
      <formula>$Y$7</formula>
    </cfRule>
  </conditionalFormatting>
  <conditionalFormatting sqref="BG8:BI77 BD78:BI131">
    <cfRule type="cellIs" dxfId="1" priority="2" operator="greaterThan">
      <formula>BD$7</formula>
    </cfRule>
  </conditionalFormatting>
  <conditionalFormatting sqref="BL8:BQ112">
    <cfRule type="cellIs" dxfId="0" priority="1" operator="greaterThan">
      <formula>BL$7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Admin-165</dc:creator>
  <cp:lastModifiedBy>muthu kumaran</cp:lastModifiedBy>
  <dcterms:created xsi:type="dcterms:W3CDTF">2025-08-19T03:45:10Z</dcterms:created>
  <dcterms:modified xsi:type="dcterms:W3CDTF">2026-03-14T06:37:50Z</dcterms:modified>
</cp:coreProperties>
</file>